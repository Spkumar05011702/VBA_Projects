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R:\BPO PTP\Vendor Rec\RPA\"/>
    </mc:Choice>
  </mc:AlternateContent>
  <xr:revisionPtr revIDLastSave="0" documentId="13_ncr:1_{26D4337C-3180-467A-8CA2-B72CFCEE0F18}" xr6:coauthVersionLast="47" xr6:coauthVersionMax="47" xr10:uidLastSave="{00000000-0000-0000-0000-000000000000}"/>
  <bookViews>
    <workbookView xWindow="-120" yWindow="-120" windowWidth="20730" windowHeight="11310" xr2:uid="{00000000-000D-0000-FFFF-FFFF00000000}"/>
  </bookViews>
  <sheets>
    <sheet name="MacroTab" sheetId="2" r:id="rId1"/>
    <sheet name="Config" sheetId="1" r:id="rId2"/>
    <sheet name="Temp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48" i="3" l="1"/>
  <c r="G58" i="3" l="1"/>
  <c r="G53" i="3"/>
  <c r="G43" i="3"/>
  <c r="G38" i="3"/>
  <c r="G33" i="3"/>
  <c r="G28" i="3"/>
  <c r="G23" i="3"/>
  <c r="G18" i="3"/>
  <c r="G65" i="3" l="1"/>
  <c r="G66" i="3" l="1"/>
</calcChain>
</file>

<file path=xl/sharedStrings.xml><?xml version="1.0" encoding="utf-8"?>
<sst xmlns="http://schemas.openxmlformats.org/spreadsheetml/2006/main" count="266" uniqueCount="129">
  <si>
    <t>Owner</t>
  </si>
  <si>
    <t>AP Status</t>
  </si>
  <si>
    <t>Vendor</t>
  </si>
  <si>
    <t>CCBSS/Bottler</t>
  </si>
  <si>
    <t>Paid/Apply Cash</t>
  </si>
  <si>
    <t>Re-submit Invoice</t>
  </si>
  <si>
    <t>Rejected</t>
  </si>
  <si>
    <t>Processing Error - (Reason)</t>
  </si>
  <si>
    <t>Pending</t>
  </si>
  <si>
    <t>Search Criteria</t>
  </si>
  <si>
    <t xml:space="preserve">No data </t>
  </si>
  <si>
    <t>T-Codes</t>
  </si>
  <si>
    <t>Rejection Reason</t>
  </si>
  <si>
    <t>Gross Amount</t>
  </si>
  <si>
    <t>Workflow</t>
  </si>
  <si>
    <t>/cockpit/1</t>
  </si>
  <si>
    <t>Posting Date &amp; Net due date</t>
  </si>
  <si>
    <t>FBL1N</t>
  </si>
  <si>
    <t>Clearing Date &amp; Posting Date</t>
  </si>
  <si>
    <t>Comments</t>
  </si>
  <si>
    <t>Not found in the system. Please submit the invoice to apinvoices@heartcoacacola.com</t>
  </si>
  <si>
    <t>Paid via ACH</t>
  </si>
  <si>
    <t>Paid via Check</t>
  </si>
  <si>
    <t>Payment Blocked</t>
  </si>
  <si>
    <t>Reversed in SAP</t>
  </si>
  <si>
    <t>Will be paid on Due date</t>
  </si>
  <si>
    <t>In IMS to be processed</t>
  </si>
  <si>
    <t>Paid via ACH on XX/XX/XX (Short paid need POD)</t>
  </si>
  <si>
    <t>Paid via Check number (Short Piad need POD)</t>
  </si>
  <si>
    <t>Payment Blocked in SAP</t>
  </si>
  <si>
    <t>Pending Cases comment " Followup Text"</t>
  </si>
  <si>
    <t>Invoice not received</t>
  </si>
  <si>
    <t>Coca-Cola Canada Bottling Limited</t>
  </si>
  <si>
    <t>VENDOR RECONCILIATION</t>
  </si>
  <si>
    <t>Date:</t>
  </si>
  <si>
    <t>xx-Feb-2020</t>
  </si>
  <si>
    <t>Vendor Name:</t>
  </si>
  <si>
    <t>abc</t>
  </si>
  <si>
    <t>Name</t>
  </si>
  <si>
    <t>Amount</t>
  </si>
  <si>
    <t>Date</t>
  </si>
  <si>
    <t>PO Number</t>
  </si>
  <si>
    <t xml:space="preserve">PO Number </t>
  </si>
  <si>
    <t>Invoice/Credit Note No.</t>
  </si>
  <si>
    <t>Variance:</t>
  </si>
  <si>
    <t xml:space="preserve"> </t>
  </si>
  <si>
    <t>Heading for summary page</t>
  </si>
  <si>
    <t>Current Status in Data Sheet</t>
  </si>
  <si>
    <t>Revised Status for Data Sheet</t>
  </si>
  <si>
    <t>Invoice Paid via ACH</t>
  </si>
  <si>
    <t>Invoice Paid via Check</t>
  </si>
  <si>
    <t>Invocie Blocked for payment in System</t>
  </si>
  <si>
    <t>Invoice Ready for Payment</t>
  </si>
  <si>
    <t>Ready for payment</t>
  </si>
  <si>
    <t>Invoice Pending in System</t>
  </si>
  <si>
    <t>Invoice Not Received In System</t>
  </si>
  <si>
    <t>Invoice not found in System</t>
  </si>
  <si>
    <t xml:space="preserve">Invoice Rejected </t>
  </si>
  <si>
    <t>Invoice Short Paid</t>
  </si>
  <si>
    <t>Short Paid</t>
  </si>
  <si>
    <t>Exit</t>
  </si>
  <si>
    <t>Balance as per vendor Statement</t>
  </si>
  <si>
    <t>Company Code</t>
  </si>
  <si>
    <t>Vendor ID:</t>
  </si>
  <si>
    <t>Invoice Blocked for payment in System - Bottler research required</t>
  </si>
  <si>
    <t>Invoice Rejected - Bottler research required</t>
  </si>
  <si>
    <t>Bottlers</t>
  </si>
  <si>
    <t>apinvoices@abartacocacola.com</t>
  </si>
  <si>
    <t>apinvoices@libertycoke.com</t>
  </si>
  <si>
    <t>apinvoices@cocacolaswb.com</t>
  </si>
  <si>
    <t>apinvoices@heartlandcocacola.com</t>
  </si>
  <si>
    <t>Co.Cod.</t>
  </si>
  <si>
    <t>Invoice Scheduled for Payment</t>
  </si>
  <si>
    <t>Invoice Pending Approval</t>
  </si>
  <si>
    <t>Invoice Short/Over Paid</t>
  </si>
  <si>
    <t>Credit adjusted</t>
  </si>
  <si>
    <t>Posted and Rejected</t>
  </si>
  <si>
    <t>CCBSS/Bottlers</t>
  </si>
  <si>
    <t>Rejected with clearing document# against document posted with negative amount in FBL1N</t>
  </si>
  <si>
    <t>Over Paid</t>
  </si>
  <si>
    <t>Verbiage /Comments should be use as per paid via check / ACH</t>
  </si>
  <si>
    <t>Invoice is scheduled for payment</t>
  </si>
  <si>
    <t>Invoice is pending for approval with local buyer</t>
  </si>
  <si>
    <t>AP</t>
  </si>
  <si>
    <t>Further research required by Accounts payable for resolving invoice discrepancy</t>
  </si>
  <si>
    <t>Credit note is scheduled for adjustment</t>
  </si>
  <si>
    <t>Prepared by: Vendor Statement Reconcilation Team</t>
  </si>
  <si>
    <t>Add -Ap callcenter email id</t>
  </si>
  <si>
    <t>Abarta</t>
  </si>
  <si>
    <t>Reyes</t>
  </si>
  <si>
    <t>Canada</t>
  </si>
  <si>
    <t>Great Lakes</t>
  </si>
  <si>
    <t>Liberty</t>
  </si>
  <si>
    <t>Southwest</t>
  </si>
  <si>
    <t>Heartland</t>
  </si>
  <si>
    <t>apcallcenter@coke-bsna.com</t>
  </si>
  <si>
    <t>apcallcenter@glccd.com/apcallcenter@reyesccb.com</t>
  </si>
  <si>
    <t>Company Name (header in statement summary tab )</t>
  </si>
  <si>
    <t xml:space="preserve">AP Customer Service Email Address </t>
  </si>
  <si>
    <t>apcallcenter@heartlandcocacola.com</t>
  </si>
  <si>
    <t>apcallcenter@cocacolaswb.com</t>
  </si>
  <si>
    <t>apcallcenter@abartacocacola.com</t>
  </si>
  <si>
    <t>apcallcenter@cokenortheast.com</t>
  </si>
  <si>
    <t>libertyapcallcenter@coke-bsna.com</t>
  </si>
  <si>
    <t>apcallcenter@cokecanada.com</t>
  </si>
  <si>
    <t>AP invoices Email IDs</t>
  </si>
  <si>
    <t>Balance as per the vendor Statement</t>
  </si>
  <si>
    <t>BSNA</t>
  </si>
  <si>
    <t>apinvoices@coke-bsna.com</t>
  </si>
  <si>
    <t>CCSWB</t>
  </si>
  <si>
    <t>ABARTA</t>
  </si>
  <si>
    <t>apinvoice@cokenortheast.com</t>
  </si>
  <si>
    <t>Northeast</t>
  </si>
  <si>
    <t>Coca-Cola Business Services North America LLC</t>
  </si>
  <si>
    <t>Great Lakes Coca-Cola Bottling, LLC / Reyes Coca-Cola Bottling, LLC</t>
  </si>
  <si>
    <t>Heartland Coca-Cola Bottling Company, LLC</t>
  </si>
  <si>
    <t>Coca-Cola Southwest Beverages / Texas Cola Leasing (TCL)</t>
  </si>
  <si>
    <t>ABARTA Coca-Cola Beverages / G4 Logistics</t>
  </si>
  <si>
    <t>Coca-Cola Beverages Northeast, INC</t>
  </si>
  <si>
    <t>Liberty Coca-Cola Beverages, LLC</t>
  </si>
  <si>
    <t>apinvoices@glccd.com OR apinvoices@reyesccb.com</t>
  </si>
  <si>
    <t>poinvoices@cokecanada.com OR nonpoinvoices@cokecanada.com</t>
  </si>
  <si>
    <t>Invoice Not Received In System - Please submit if not sent within the previous 3 days</t>
  </si>
  <si>
    <t>Payment issued via Check</t>
  </si>
  <si>
    <t>For any questions, please email AP Customer Service Center</t>
  </si>
  <si>
    <t>Submit</t>
  </si>
  <si>
    <t>Requestor’s Email Address</t>
  </si>
  <si>
    <t>Scheduled to pay</t>
  </si>
  <si>
    <t>Submit per the instructions outlined in the Supplier Quick Reference Guide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</si>
</sst>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3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name val="Calibri"/>
      <family val="2"/>
      <scheme val="minor"/>
    </font>
    <font>
      <sz val="11"/>
      <color rgb="FF0070C0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rgb="FF00B050"/>
      <name val="Calibri"/>
      <family val="2"/>
      <scheme val="minor"/>
    </font>
    <font>
      <b/>
      <u/>
      <sz val="11"/>
      <name val="Calibri"/>
      <family val="2"/>
      <scheme val="minor"/>
    </font>
    <font>
      <b/>
      <i/>
      <u/>
      <sz val="11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b/>
      <i/>
      <sz val="1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00206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Arial"/>
      <family val="2"/>
    </font>
    <font>
      <b/>
      <sz val="9"/>
      <color rgb="FF000000"/>
      <name val="Calibri"/>
      <family val="2"/>
    </font>
    <font>
      <sz val="9"/>
      <color rgb="FF000000"/>
      <name val="Calibri"/>
      <family val="2"/>
    </font>
    <font>
      <sz val="9"/>
      <color rgb="FFFF0000"/>
      <name val="Calibri"/>
      <family val="2"/>
    </font>
    <font>
      <u/>
      <sz val="9"/>
      <color theme="10"/>
      <name val="Calibri"/>
      <family val="2"/>
      <scheme val="minor"/>
    </font>
    <font>
      <sz val="9"/>
      <color rgb="FF000000"/>
      <name val="Calibri"/>
      <family val="2"/>
      <scheme val="minor"/>
    </font>
    <font>
      <sz val="10"/>
      <color rgb="FF000000"/>
      <name val="Segoe UI"/>
      <family val="2"/>
    </font>
    <font>
      <sz val="10"/>
      <color theme="1"/>
      <name val="Arial"/>
      <family val="2"/>
    </font>
    <font>
      <sz val="8"/>
      <color rgb="FF4E586A"/>
      <name val="Segoe UI"/>
      <family val="2"/>
    </font>
    <font>
      <sz val="10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 style="double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7">
    <xf numFmtId="0" fontId="0" fillId="0" borderId="0"/>
    <xf numFmtId="0" fontId="2" fillId="0" borderId="0"/>
    <xf numFmtId="0" fontId="5" fillId="0" borderId="0"/>
    <xf numFmtId="43" fontId="6" fillId="0" borderId="0" applyFont="0" applyFill="0" applyBorder="0" applyAlignment="0" applyProtection="0"/>
    <xf numFmtId="0" fontId="7" fillId="0" borderId="0" applyNumberFormat="0" applyFill="0" applyBorder="0" applyAlignment="0" applyProtection="0"/>
    <xf numFmtId="43" fontId="2" fillId="0" borderId="0" applyFont="0" applyFill="0" applyBorder="0" applyAlignment="0" applyProtection="0"/>
    <xf numFmtId="0" fontId="2" fillId="0" borderId="0"/>
  </cellStyleXfs>
  <cellXfs count="115">
    <xf numFmtId="0" fontId="0" fillId="0" borderId="0" xfId="0"/>
    <xf numFmtId="0" fontId="3" fillId="0" borderId="4" xfId="0" applyFont="1" applyBorder="1" applyAlignment="1">
      <alignment horizontal="left" wrapText="1"/>
    </xf>
    <xf numFmtId="0" fontId="0" fillId="0" borderId="4" xfId="0" applyBorder="1" applyAlignment="1">
      <alignment horizontal="left"/>
    </xf>
    <xf numFmtId="43" fontId="8" fillId="0" borderId="4" xfId="3" applyFont="1" applyFill="1" applyBorder="1" applyAlignment="1">
      <alignment horizontal="right"/>
    </xf>
    <xf numFmtId="0" fontId="0" fillId="0" borderId="6" xfId="0" applyBorder="1" applyAlignment="1">
      <alignment horizontal="center"/>
    </xf>
    <xf numFmtId="0" fontId="0" fillId="0" borderId="0" xfId="0" applyAlignment="1">
      <alignment horizontal="left"/>
    </xf>
    <xf numFmtId="43" fontId="8" fillId="0" borderId="0" xfId="3" applyFont="1" applyFill="1" applyBorder="1" applyAlignment="1">
      <alignment horizontal="right"/>
    </xf>
    <xf numFmtId="0" fontId="1" fillId="0" borderId="0" xfId="0" applyFont="1"/>
    <xf numFmtId="0" fontId="9" fillId="0" borderId="6" xfId="0" applyFont="1" applyBorder="1"/>
    <xf numFmtId="0" fontId="10" fillId="0" borderId="0" xfId="0" applyFont="1" applyAlignment="1">
      <alignment vertical="center"/>
    </xf>
    <xf numFmtId="0" fontId="10" fillId="0" borderId="0" xfId="0" applyFont="1"/>
    <xf numFmtId="15" fontId="0" fillId="0" borderId="0" xfId="0" applyNumberFormat="1" applyAlignment="1">
      <alignment horizontal="left"/>
    </xf>
    <xf numFmtId="0" fontId="9" fillId="0" borderId="0" xfId="0" applyFont="1"/>
    <xf numFmtId="49" fontId="0" fillId="0" borderId="0" xfId="0" applyNumberFormat="1" applyAlignment="1">
      <alignment horizontal="left"/>
    </xf>
    <xf numFmtId="1" fontId="0" fillId="0" borderId="0" xfId="0" applyNumberFormat="1" applyAlignment="1">
      <alignment horizontal="left"/>
    </xf>
    <xf numFmtId="0" fontId="3" fillId="0" borderId="0" xfId="0" applyFont="1"/>
    <xf numFmtId="49" fontId="7" fillId="0" borderId="0" xfId="4" applyNumberFormat="1" applyFill="1" applyBorder="1" applyAlignment="1">
      <alignment horizontal="left"/>
    </xf>
    <xf numFmtId="0" fontId="4" fillId="0" borderId="0" xfId="0" applyFont="1"/>
    <xf numFmtId="0" fontId="12" fillId="0" borderId="4" xfId="0" applyFont="1" applyBorder="1" applyAlignment="1">
      <alignment horizontal="left"/>
    </xf>
    <xf numFmtId="0" fontId="3" fillId="0" borderId="4" xfId="0" applyFont="1" applyBorder="1" applyAlignment="1">
      <alignment horizontal="left"/>
    </xf>
    <xf numFmtId="43" fontId="8" fillId="0" borderId="9" xfId="3" applyFont="1" applyFill="1" applyBorder="1" applyAlignment="1">
      <alignment horizontal="right"/>
    </xf>
    <xf numFmtId="0" fontId="12" fillId="0" borderId="0" xfId="0" applyFont="1" applyAlignment="1">
      <alignment horizontal="left"/>
    </xf>
    <xf numFmtId="0" fontId="8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14" fontId="0" fillId="0" borderId="6" xfId="0" applyNumberFormat="1" applyBorder="1" applyAlignment="1">
      <alignment horizontal="left"/>
    </xf>
    <xf numFmtId="0" fontId="2" fillId="0" borderId="0" xfId="0" applyFont="1" applyAlignment="1">
      <alignment horizontal="left"/>
    </xf>
    <xf numFmtId="43" fontId="2" fillId="0" borderId="10" xfId="3" applyFont="1" applyFill="1" applyBorder="1" applyAlignment="1">
      <alignment horizontal="right"/>
    </xf>
    <xf numFmtId="43" fontId="8" fillId="0" borderId="10" xfId="3" applyFont="1" applyFill="1" applyBorder="1" applyAlignment="1">
      <alignment horizontal="right"/>
    </xf>
    <xf numFmtId="0" fontId="11" fillId="0" borderId="6" xfId="0" applyFont="1" applyBorder="1"/>
    <xf numFmtId="0" fontId="13" fillId="0" borderId="0" xfId="0" applyFont="1" applyAlignment="1">
      <alignment horizontal="left"/>
    </xf>
    <xf numFmtId="0" fontId="11" fillId="0" borderId="0" xfId="0" applyFont="1" applyAlignment="1">
      <alignment horizontal="left"/>
    </xf>
    <xf numFmtId="14" fontId="0" fillId="0" borderId="0" xfId="0" applyNumberFormat="1" applyAlignment="1">
      <alignment horizontal="left"/>
    </xf>
    <xf numFmtId="0" fontId="1" fillId="0" borderId="0" xfId="0" applyFont="1" applyAlignment="1">
      <alignment horizontal="left"/>
    </xf>
    <xf numFmtId="14" fontId="11" fillId="0" borderId="0" xfId="0" applyNumberFormat="1" applyFont="1" applyAlignment="1">
      <alignment horizontal="left"/>
    </xf>
    <xf numFmtId="0" fontId="8" fillId="0" borderId="0" xfId="1" applyFont="1" applyAlignment="1">
      <alignment horizontal="left"/>
    </xf>
    <xf numFmtId="43" fontId="0" fillId="0" borderId="10" xfId="3" applyFont="1" applyFill="1" applyBorder="1" applyAlignment="1">
      <alignment horizontal="right"/>
    </xf>
    <xf numFmtId="1" fontId="8" fillId="0" borderId="0" xfId="0" applyNumberFormat="1" applyFont="1" applyAlignment="1">
      <alignment horizontal="left"/>
    </xf>
    <xf numFmtId="0" fontId="8" fillId="0" borderId="3" xfId="0" applyFont="1" applyBorder="1" applyAlignment="1">
      <alignment horizontal="center"/>
    </xf>
    <xf numFmtId="0" fontId="8" fillId="0" borderId="4" xfId="0" applyFont="1" applyBorder="1" applyAlignment="1">
      <alignment horizontal="left"/>
    </xf>
    <xf numFmtId="0" fontId="8" fillId="0" borderId="4" xfId="0" applyFont="1" applyBorder="1"/>
    <xf numFmtId="0" fontId="8" fillId="0" borderId="6" xfId="0" applyFont="1" applyBorder="1" applyAlignment="1">
      <alignment horizontal="center"/>
    </xf>
    <xf numFmtId="0" fontId="8" fillId="0" borderId="0" xfId="0" applyFont="1"/>
    <xf numFmtId="0" fontId="8" fillId="0" borderId="0" xfId="6" applyFont="1" applyAlignment="1">
      <alignment horizontal="center"/>
    </xf>
    <xf numFmtId="43" fontId="8" fillId="0" borderId="12" xfId="3" applyFont="1" applyFill="1" applyBorder="1" applyAlignment="1">
      <alignment horizontal="right"/>
    </xf>
    <xf numFmtId="15" fontId="0" fillId="0" borderId="0" xfId="0" applyNumberFormat="1"/>
    <xf numFmtId="0" fontId="18" fillId="0" borderId="0" xfId="0" applyFont="1"/>
    <xf numFmtId="0" fontId="19" fillId="2" borderId="1" xfId="0" applyFont="1" applyFill="1" applyBorder="1"/>
    <xf numFmtId="0" fontId="19" fillId="3" borderId="1" xfId="0" applyFont="1" applyFill="1" applyBorder="1"/>
    <xf numFmtId="0" fontId="20" fillId="0" borderId="0" xfId="0" applyFont="1"/>
    <xf numFmtId="0" fontId="20" fillId="0" borderId="1" xfId="0" applyFont="1" applyBorder="1"/>
    <xf numFmtId="14" fontId="21" fillId="0" borderId="1" xfId="1" applyNumberFormat="1" applyFont="1" applyBorder="1" applyAlignment="1">
      <alignment horizontal="left" vertical="top"/>
    </xf>
    <xf numFmtId="0" fontId="20" fillId="0" borderId="1" xfId="0" applyFont="1" applyBorder="1" applyAlignment="1">
      <alignment horizontal="left" vertical="top"/>
    </xf>
    <xf numFmtId="0" fontId="22" fillId="0" borderId="8" xfId="0" applyFont="1" applyBorder="1" applyAlignment="1">
      <alignment vertical="center"/>
    </xf>
    <xf numFmtId="0" fontId="22" fillId="0" borderId="2" xfId="0" applyFont="1" applyBorder="1" applyAlignment="1">
      <alignment vertical="center"/>
    </xf>
    <xf numFmtId="0" fontId="23" fillId="3" borderId="13" xfId="0" applyFont="1" applyFill="1" applyBorder="1" applyAlignment="1">
      <alignment vertical="center"/>
    </xf>
    <xf numFmtId="0" fontId="23" fillId="0" borderId="16" xfId="0" applyFont="1" applyBorder="1" applyAlignment="1">
      <alignment vertical="center"/>
    </xf>
    <xf numFmtId="0" fontId="24" fillId="0" borderId="16" xfId="0" applyFont="1" applyBorder="1" applyAlignment="1">
      <alignment vertical="center"/>
    </xf>
    <xf numFmtId="0" fontId="23" fillId="0" borderId="13" xfId="0" applyFont="1" applyBorder="1" applyAlignment="1">
      <alignment vertical="center"/>
    </xf>
    <xf numFmtId="0" fontId="3" fillId="0" borderId="6" xfId="1" applyFont="1" applyBorder="1" applyAlignment="1">
      <alignment horizontal="left"/>
    </xf>
    <xf numFmtId="43" fontId="3" fillId="0" borderId="0" xfId="3" applyFont="1" applyFill="1" applyBorder="1" applyAlignment="1">
      <alignment horizontal="right"/>
    </xf>
    <xf numFmtId="43" fontId="3" fillId="0" borderId="8" xfId="3" applyFont="1" applyFill="1" applyBorder="1"/>
    <xf numFmtId="0" fontId="11" fillId="0" borderId="3" xfId="0" applyFont="1" applyBorder="1"/>
    <xf numFmtId="0" fontId="11" fillId="0" borderId="6" xfId="0" applyFont="1" applyBorder="1" applyAlignment="1">
      <alignment horizontal="left"/>
    </xf>
    <xf numFmtId="0" fontId="0" fillId="0" borderId="6" xfId="0" quotePrefix="1" applyBorder="1"/>
    <xf numFmtId="14" fontId="8" fillId="0" borderId="0" xfId="0" applyNumberFormat="1" applyFont="1" applyAlignment="1">
      <alignment horizontal="left"/>
    </xf>
    <xf numFmtId="0" fontId="14" fillId="0" borderId="4" xfId="0" applyFont="1" applyBorder="1" applyAlignment="1">
      <alignment horizontal="left"/>
    </xf>
    <xf numFmtId="43" fontId="14" fillId="0" borderId="4" xfId="3" applyFont="1" applyFill="1" applyBorder="1" applyAlignment="1">
      <alignment horizontal="right"/>
    </xf>
    <xf numFmtId="0" fontId="14" fillId="0" borderId="0" xfId="0" applyFont="1" applyAlignment="1">
      <alignment horizontal="left"/>
    </xf>
    <xf numFmtId="43" fontId="14" fillId="0" borderId="0" xfId="3" applyFont="1" applyFill="1" applyBorder="1" applyAlignment="1">
      <alignment horizontal="right"/>
    </xf>
    <xf numFmtId="0" fontId="0" fillId="0" borderId="6" xfId="0" applyBorder="1"/>
    <xf numFmtId="0" fontId="3" fillId="0" borderId="0" xfId="1" applyFont="1" applyAlignment="1">
      <alignment horizontal="left"/>
    </xf>
    <xf numFmtId="0" fontId="8" fillId="0" borderId="0" xfId="6" applyFont="1"/>
    <xf numFmtId="0" fontId="15" fillId="0" borderId="6" xfId="1" applyFont="1" applyBorder="1" applyAlignment="1">
      <alignment horizontal="left" vertical="center"/>
    </xf>
    <xf numFmtId="0" fontId="3" fillId="0" borderId="6" xfId="6" applyFont="1" applyBorder="1"/>
    <xf numFmtId="0" fontId="3" fillId="0" borderId="0" xfId="6" applyFont="1"/>
    <xf numFmtId="0" fontId="8" fillId="0" borderId="6" xfId="6" applyFont="1" applyBorder="1"/>
    <xf numFmtId="0" fontId="3" fillId="0" borderId="11" xfId="6" applyFont="1" applyBorder="1" applyAlignment="1">
      <alignment horizontal="left"/>
    </xf>
    <xf numFmtId="0" fontId="8" fillId="0" borderId="12" xfId="6" applyFont="1" applyBorder="1"/>
    <xf numFmtId="0" fontId="3" fillId="0" borderId="12" xfId="6" applyFont="1" applyBorder="1"/>
    <xf numFmtId="0" fontId="16" fillId="0" borderId="0" xfId="0" applyFont="1"/>
    <xf numFmtId="0" fontId="7" fillId="0" borderId="1" xfId="4" applyFill="1" applyBorder="1"/>
    <xf numFmtId="0" fontId="25" fillId="0" borderId="1" xfId="4" applyFont="1" applyFill="1" applyBorder="1"/>
    <xf numFmtId="0" fontId="26" fillId="0" borderId="0" xfId="0" applyFont="1"/>
    <xf numFmtId="0" fontId="17" fillId="0" borderId="0" xfId="0" applyFont="1"/>
    <xf numFmtId="0" fontId="27" fillId="0" borderId="0" xfId="0" applyFont="1" applyAlignment="1">
      <alignment vertical="center"/>
    </xf>
    <xf numFmtId="0" fontId="29" fillId="0" borderId="0" xfId="0" applyFont="1" applyAlignment="1">
      <alignment vertical="center"/>
    </xf>
    <xf numFmtId="0" fontId="28" fillId="0" borderId="0" xfId="0" applyFont="1" applyAlignment="1">
      <alignment vertical="center"/>
    </xf>
    <xf numFmtId="0" fontId="30" fillId="0" borderId="0" xfId="0" applyFont="1" applyAlignment="1">
      <alignment vertical="center"/>
    </xf>
    <xf numFmtId="0" fontId="0" fillId="0" borderId="1" xfId="0" applyBorder="1"/>
    <xf numFmtId="0" fontId="3" fillId="0" borderId="6" xfId="0" applyFont="1" applyBorder="1" applyAlignment="1">
      <alignment horizontal="left"/>
    </xf>
    <xf numFmtId="0" fontId="15" fillId="0" borderId="0" xfId="1" applyFont="1" applyAlignment="1">
      <alignment horizontal="left" vertical="center"/>
    </xf>
    <xf numFmtId="0" fontId="3" fillId="0" borderId="3" xfId="1" applyFont="1" applyBorder="1" applyAlignment="1">
      <alignment horizontal="left"/>
    </xf>
    <xf numFmtId="0" fontId="3" fillId="0" borderId="4" xfId="1" applyFont="1" applyBorder="1" applyAlignment="1">
      <alignment horizontal="left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left"/>
    </xf>
    <xf numFmtId="0" fontId="0" fillId="0" borderId="12" xfId="0" applyBorder="1"/>
    <xf numFmtId="0" fontId="0" fillId="0" borderId="10" xfId="0" applyBorder="1"/>
    <xf numFmtId="0" fontId="0" fillId="0" borderId="7" xfId="0" applyBorder="1"/>
    <xf numFmtId="43" fontId="0" fillId="0" borderId="5" xfId="5" applyFont="1" applyFill="1" applyBorder="1" applyAlignment="1">
      <alignment horizontal="right"/>
    </xf>
    <xf numFmtId="43" fontId="0" fillId="0" borderId="7" xfId="5" applyFont="1" applyFill="1" applyBorder="1" applyAlignment="1">
      <alignment horizontal="right"/>
    </xf>
    <xf numFmtId="43" fontId="0" fillId="0" borderId="16" xfId="5" applyFont="1" applyFill="1" applyBorder="1" applyAlignment="1">
      <alignment horizontal="right"/>
    </xf>
    <xf numFmtId="3" fontId="0" fillId="0" borderId="8" xfId="3" applyNumberFormat="1" applyFont="1" applyFill="1" applyBorder="1" applyAlignment="1">
      <alignment horizontal="right"/>
    </xf>
    <xf numFmtId="4" fontId="0" fillId="0" borderId="10" xfId="3" applyNumberFormat="1" applyFont="1" applyFill="1" applyBorder="1" applyAlignment="1">
      <alignment horizontal="right"/>
    </xf>
    <xf numFmtId="4" fontId="0" fillId="0" borderId="14" xfId="3" applyNumberFormat="1" applyFont="1" applyFill="1" applyBorder="1" applyAlignment="1">
      <alignment horizontal="right"/>
    </xf>
    <xf numFmtId="43" fontId="1" fillId="0" borderId="8" xfId="3" applyFont="1" applyFill="1" applyBorder="1" applyAlignment="1">
      <alignment horizontal="right"/>
    </xf>
    <xf numFmtId="4" fontId="1" fillId="0" borderId="15" xfId="3" applyNumberFormat="1" applyFont="1" applyFill="1" applyBorder="1" applyAlignment="1">
      <alignment horizontal="right"/>
    </xf>
    <xf numFmtId="4" fontId="1" fillId="0" borderId="8" xfId="3" applyNumberFormat="1" applyFont="1" applyFill="1" applyBorder="1" applyAlignment="1">
      <alignment horizontal="right"/>
    </xf>
    <xf numFmtId="0" fontId="19" fillId="2" borderId="1" xfId="0" applyFont="1" applyFill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3" fillId="0" borderId="5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3" fillId="0" borderId="6" xfId="0" applyFont="1" applyBorder="1" applyAlignment="1">
      <alignment horizontal="left"/>
    </xf>
    <xf numFmtId="0" fontId="3" fillId="0" borderId="0" xfId="0" applyFont="1" applyAlignment="1">
      <alignment horizontal="left"/>
    </xf>
    <xf numFmtId="0" fontId="3" fillId="0" borderId="7" xfId="0" applyFont="1" applyBorder="1" applyAlignment="1">
      <alignment horizontal="left"/>
    </xf>
  </cellXfs>
  <cellStyles count="7">
    <cellStyle name="Comma" xfId="3" builtinId="3"/>
    <cellStyle name="Comma 2" xfId="5" xr:uid="{00000000-0005-0000-0000-000001000000}"/>
    <cellStyle name="Hyperlink" xfId="4" builtinId="8"/>
    <cellStyle name="Normal" xfId="0" builtinId="0"/>
    <cellStyle name="Normal 2" xfId="1" xr:uid="{00000000-0005-0000-0000-000004000000}"/>
    <cellStyle name="Normal 3" xfId="2" xr:uid="{00000000-0005-0000-0000-000005000000}"/>
    <cellStyle name="Normal 4" xfId="6" xr:uid="{00000000-0005-0000-0000-000006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57149</xdr:colOff>
      <xdr:row>0</xdr:row>
      <xdr:rowOff>164725</xdr:rowOff>
    </xdr:from>
    <xdr:to>
      <xdr:col>2</xdr:col>
      <xdr:colOff>523874</xdr:colOff>
      <xdr:row>6</xdr:row>
      <xdr:rowOff>53346</xdr:rowOff>
    </xdr:to>
    <xdr:pic macro="[0]!vVendorRecon">
      <xdr:nvPicPr>
        <xdr:cNvPr id="2" name="Picture 1">
          <a:extLst>
            <a:ext uri="{FF2B5EF4-FFF2-40B4-BE49-F238E27FC236}">
              <a16:creationId xmlns:a16="http://schemas.microsoft.com/office/drawing/2014/main" id="{2B1D0B04-3491-4C5E-AF64-DDB93E1D35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6749" y="164725"/>
          <a:ext cx="1076325" cy="1031621"/>
        </a:xfrm>
        <a:prstGeom prst="rect">
          <a:avLst/>
        </a:prstGeom>
      </xdr:spPr>
    </xdr:pic>
    <xdr:clientData/>
  </xdr:twoCellAnchor>
  <xdr:twoCellAnchor>
    <xdr:from>
      <xdr:col>4</xdr:col>
      <xdr:colOff>495300</xdr:colOff>
      <xdr:row>1</xdr:row>
      <xdr:rowOff>133350</xdr:rowOff>
    </xdr:from>
    <xdr:to>
      <xdr:col>6</xdr:col>
      <xdr:colOff>85725</xdr:colOff>
      <xdr:row>4</xdr:row>
      <xdr:rowOff>123825</xdr:rowOff>
    </xdr:to>
    <xdr:sp macro="[0]!formating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E4FD7F5D-5EC3-4ACE-9866-665E966CBB13}"/>
            </a:ext>
          </a:extLst>
        </xdr:cNvPr>
        <xdr:cNvSpPr/>
      </xdr:nvSpPr>
      <xdr:spPr>
        <a:xfrm>
          <a:off x="2933700" y="323850"/>
          <a:ext cx="1200150" cy="561975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St.</a:t>
          </a:r>
          <a:r>
            <a:rPr lang="en-US" sz="1100" b="1" baseline="0"/>
            <a:t> </a:t>
          </a:r>
          <a:r>
            <a:rPr lang="en-US" sz="1100" b="1"/>
            <a:t>Formating</a:t>
          </a:r>
        </a:p>
      </xdr:txBody>
    </xdr:sp>
    <xdr:clientData/>
  </xdr:twoCellAnchor>
  <xdr:twoCellAnchor editAs="oneCell">
    <xdr:from>
      <xdr:col>6</xdr:col>
      <xdr:colOff>571499</xdr:colOff>
      <xdr:row>0</xdr:row>
      <xdr:rowOff>0</xdr:rowOff>
    </xdr:from>
    <xdr:to>
      <xdr:col>16</xdr:col>
      <xdr:colOff>142874</xdr:colOff>
      <xdr:row>16</xdr:row>
      <xdr:rowOff>123448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1EA281FA-E06F-42AD-8F2F-A75B78A4B0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619624" y="0"/>
          <a:ext cx="5667375" cy="317144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mailto:apinvoices@glccd.com/apinvoices@reyesccb.com" TargetMode="External"/><Relationship Id="rId3" Type="http://schemas.openxmlformats.org/officeDocument/2006/relationships/hyperlink" Target="mailto:apinvoices@coke-bsna.com" TargetMode="External"/><Relationship Id="rId7" Type="http://schemas.openxmlformats.org/officeDocument/2006/relationships/hyperlink" Target="mailto:apinvoice@cokenortheast.com" TargetMode="External"/><Relationship Id="rId2" Type="http://schemas.openxmlformats.org/officeDocument/2006/relationships/hyperlink" Target="mailto:apcallcenter@abartacocacola.com" TargetMode="External"/><Relationship Id="rId1" Type="http://schemas.openxmlformats.org/officeDocument/2006/relationships/hyperlink" Target="mailto:apcallcenter@cocacolaswb.com" TargetMode="External"/><Relationship Id="rId6" Type="http://schemas.openxmlformats.org/officeDocument/2006/relationships/hyperlink" Target="mailto:poinvoices@cokecanada.com/nonpoinvoices@cokecanada.com" TargetMode="External"/><Relationship Id="rId5" Type="http://schemas.openxmlformats.org/officeDocument/2006/relationships/hyperlink" Target="mailto:apinvoices@glccd.com/apinvoices@reyesccb.com" TargetMode="External"/><Relationship Id="rId4" Type="http://schemas.openxmlformats.org/officeDocument/2006/relationships/hyperlink" Target="mailto:apinvoices@cocacolaswb.com" TargetMode="External"/><Relationship Id="rId9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E2:G4"/>
  <sheetViews>
    <sheetView showGridLines="0" tabSelected="1" workbookViewId="0">
      <selection activeCell="F10" sqref="F10"/>
    </sheetView>
  </sheetViews>
  <sheetFormatPr defaultRowHeight="15" x14ac:dyDescent="0.25"/>
  <cols>
    <col min="5" max="5" width="15" bestFit="1" customWidth="1"/>
  </cols>
  <sheetData>
    <row r="2" spans="5:7" x14ac:dyDescent="0.25">
      <c r="E2" s="83"/>
    </row>
    <row r="3" spans="5:7" x14ac:dyDescent="0.25">
      <c r="E3" s="44"/>
    </row>
    <row r="4" spans="5:7" x14ac:dyDescent="0.25">
      <c r="G4" s="45"/>
    </row>
  </sheetData>
  <pageMargins left="0.7" right="0.7" top="0.75" bottom="0.75" header="0.3" footer="0.3"/>
  <pageSetup orientation="portrait" r:id="rId1"/>
  <headerFooter>
    <oddFooter>&amp;C&amp;1#&amp;"Calibri"&amp;8&amp;K000000Classified - Confidential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M31"/>
  <sheetViews>
    <sheetView showGridLines="0" workbookViewId="0">
      <selection activeCell="A4" sqref="A4"/>
    </sheetView>
  </sheetViews>
  <sheetFormatPr defaultColWidth="9.140625" defaultRowHeight="12" x14ac:dyDescent="0.2"/>
  <cols>
    <col min="1" max="1" width="31.42578125" style="48" bestFit="1" customWidth="1"/>
    <col min="2" max="2" width="23.85546875" style="48" bestFit="1" customWidth="1"/>
    <col min="3" max="3" width="22.5703125" style="48" bestFit="1" customWidth="1"/>
    <col min="4" max="4" width="5.5703125" style="48" bestFit="1" customWidth="1"/>
    <col min="5" max="5" width="12.28515625" style="48" bestFit="1" customWidth="1"/>
    <col min="6" max="6" width="74.140625" style="48" bestFit="1" customWidth="1"/>
    <col min="7" max="16384" width="9.140625" style="48"/>
  </cols>
  <sheetData>
    <row r="1" spans="1:13" x14ac:dyDescent="0.2">
      <c r="A1" s="46" t="s">
        <v>1</v>
      </c>
      <c r="B1" s="46" t="s">
        <v>9</v>
      </c>
      <c r="C1" s="107" t="s">
        <v>11</v>
      </c>
      <c r="D1" s="107"/>
      <c r="E1" s="46" t="s">
        <v>0</v>
      </c>
      <c r="F1" s="47" t="s">
        <v>19</v>
      </c>
    </row>
    <row r="2" spans="1:13" x14ac:dyDescent="0.2">
      <c r="A2" s="49" t="s">
        <v>4</v>
      </c>
      <c r="B2" s="49" t="s">
        <v>18</v>
      </c>
      <c r="C2" s="49" t="s">
        <v>15</v>
      </c>
      <c r="D2" s="49" t="s">
        <v>17</v>
      </c>
      <c r="E2" s="49" t="s">
        <v>2</v>
      </c>
      <c r="F2" s="49"/>
    </row>
    <row r="3" spans="1:13" x14ac:dyDescent="0.2">
      <c r="A3" s="49" t="s">
        <v>5</v>
      </c>
      <c r="B3" s="49" t="s">
        <v>10</v>
      </c>
      <c r="C3" s="49" t="s">
        <v>15</v>
      </c>
      <c r="D3" s="49" t="s">
        <v>17</v>
      </c>
      <c r="E3" s="49" t="s">
        <v>2</v>
      </c>
      <c r="F3" s="50" t="s">
        <v>20</v>
      </c>
      <c r="L3" s="48" t="s">
        <v>125</v>
      </c>
      <c r="M3" s="48" t="s">
        <v>128</v>
      </c>
    </row>
    <row r="4" spans="1:13" x14ac:dyDescent="0.2">
      <c r="A4" s="49" t="s">
        <v>6</v>
      </c>
      <c r="B4" s="49" t="s">
        <v>12</v>
      </c>
      <c r="C4" s="49" t="s">
        <v>15</v>
      </c>
      <c r="D4" s="49"/>
      <c r="E4" s="49" t="s">
        <v>83</v>
      </c>
      <c r="F4" s="49" t="s">
        <v>84</v>
      </c>
      <c r="L4" s="48" t="s">
        <v>125</v>
      </c>
      <c r="M4" s="48" t="s">
        <v>128</v>
      </c>
    </row>
    <row r="5" spans="1:13" x14ac:dyDescent="0.2">
      <c r="A5" s="49" t="s">
        <v>7</v>
      </c>
      <c r="B5" s="49" t="s">
        <v>13</v>
      </c>
      <c r="C5" s="49" t="s">
        <v>15</v>
      </c>
      <c r="D5" s="49" t="s">
        <v>17</v>
      </c>
      <c r="E5" s="49" t="s">
        <v>3</v>
      </c>
      <c r="F5" s="49"/>
      <c r="L5" s="48" t="s">
        <v>125</v>
      </c>
      <c r="M5" s="48" t="s">
        <v>128</v>
      </c>
    </row>
    <row r="6" spans="1:13" x14ac:dyDescent="0.2">
      <c r="A6" s="49" t="s">
        <v>8</v>
      </c>
      <c r="B6" s="49" t="s">
        <v>14</v>
      </c>
      <c r="C6" s="49" t="s">
        <v>15</v>
      </c>
      <c r="D6" s="49"/>
      <c r="E6" s="49" t="s">
        <v>3</v>
      </c>
      <c r="F6" s="49" t="s">
        <v>82</v>
      </c>
      <c r="L6" s="48" t="s">
        <v>125</v>
      </c>
      <c r="M6" s="48" t="s">
        <v>128</v>
      </c>
    </row>
    <row r="7" spans="1:13" x14ac:dyDescent="0.2">
      <c r="A7" s="49" t="s">
        <v>127</v>
      </c>
      <c r="B7" s="49" t="s">
        <v>16</v>
      </c>
      <c r="C7" s="49" t="s">
        <v>15</v>
      </c>
      <c r="D7" s="49" t="s">
        <v>17</v>
      </c>
      <c r="E7" s="49" t="s">
        <v>3</v>
      </c>
      <c r="F7" s="49"/>
      <c r="L7" s="48" t="s">
        <v>125</v>
      </c>
      <c r="M7" s="48" t="s">
        <v>128</v>
      </c>
    </row>
    <row r="8" spans="1:13" x14ac:dyDescent="0.2">
      <c r="A8" s="49" t="s">
        <v>59</v>
      </c>
      <c r="B8" s="49"/>
      <c r="C8" s="49"/>
      <c r="D8" s="49"/>
      <c r="E8" s="49" t="s">
        <v>3</v>
      </c>
      <c r="F8" s="49" t="s">
        <v>80</v>
      </c>
      <c r="L8" s="48" t="s">
        <v>125</v>
      </c>
      <c r="M8" s="48" t="s">
        <v>128</v>
      </c>
    </row>
    <row r="9" spans="1:13" x14ac:dyDescent="0.2">
      <c r="A9" s="49" t="s">
        <v>21</v>
      </c>
      <c r="B9" s="49"/>
      <c r="C9" s="49"/>
      <c r="D9" s="49"/>
      <c r="E9" s="49" t="s">
        <v>2</v>
      </c>
      <c r="F9" s="49" t="s">
        <v>27</v>
      </c>
      <c r="L9" s="48" t="s">
        <v>125</v>
      </c>
      <c r="M9" s="48" t="s">
        <v>128</v>
      </c>
    </row>
    <row r="10" spans="1:13" x14ac:dyDescent="0.2">
      <c r="A10" s="49" t="s">
        <v>123</v>
      </c>
      <c r="B10" s="49"/>
      <c r="C10" s="49"/>
      <c r="D10" s="49"/>
      <c r="E10" s="49" t="s">
        <v>2</v>
      </c>
      <c r="F10" s="49" t="s">
        <v>28</v>
      </c>
      <c r="L10" s="48" t="s">
        <v>125</v>
      </c>
      <c r="M10" s="48" t="s">
        <v>128</v>
      </c>
    </row>
    <row r="11" spans="1:13" x14ac:dyDescent="0.2">
      <c r="A11" s="49" t="s">
        <v>22</v>
      </c>
      <c r="B11" s="49"/>
      <c r="C11" s="49"/>
      <c r="D11" s="49"/>
      <c r="E11" s="49" t="s">
        <v>2</v>
      </c>
      <c r="F11" s="49"/>
      <c r="L11" s="48" t="s">
        <v>125</v>
      </c>
      <c r="M11" s="48" t="s">
        <v>128</v>
      </c>
    </row>
    <row r="12" spans="1:13" x14ac:dyDescent="0.2">
      <c r="A12" s="49" t="s">
        <v>23</v>
      </c>
      <c r="B12" s="49"/>
      <c r="C12" s="49"/>
      <c r="D12" s="49"/>
      <c r="E12" s="49" t="s">
        <v>3</v>
      </c>
      <c r="F12" s="49" t="s">
        <v>29</v>
      </c>
      <c r="L12" s="48" t="s">
        <v>125</v>
      </c>
      <c r="M12" s="48" t="s">
        <v>128</v>
      </c>
    </row>
    <row r="13" spans="1:13" x14ac:dyDescent="0.2">
      <c r="A13" s="49" t="s">
        <v>24</v>
      </c>
      <c r="B13" s="49"/>
      <c r="C13" s="49"/>
      <c r="D13" s="49"/>
      <c r="E13" s="49" t="s">
        <v>3</v>
      </c>
      <c r="F13" s="49" t="s">
        <v>24</v>
      </c>
      <c r="L13" s="48" t="s">
        <v>125</v>
      </c>
      <c r="M13" s="48" t="s">
        <v>128</v>
      </c>
    </row>
    <row r="14" spans="1:13" x14ac:dyDescent="0.2">
      <c r="A14" s="49" t="s">
        <v>25</v>
      </c>
      <c r="B14" s="49"/>
      <c r="C14" s="49"/>
      <c r="D14" s="49"/>
      <c r="E14" s="49" t="s">
        <v>3</v>
      </c>
      <c r="F14" s="49" t="s">
        <v>81</v>
      </c>
      <c r="L14" s="48" t="s">
        <v>125</v>
      </c>
      <c r="M14" s="48" t="s">
        <v>128</v>
      </c>
    </row>
    <row r="15" spans="1:13" x14ac:dyDescent="0.2">
      <c r="A15" s="49" t="s">
        <v>26</v>
      </c>
      <c r="B15" s="49"/>
      <c r="C15" s="49"/>
      <c r="D15" s="49"/>
      <c r="E15" s="49" t="s">
        <v>3</v>
      </c>
      <c r="F15" s="49" t="s">
        <v>30</v>
      </c>
      <c r="L15" s="48" t="s">
        <v>125</v>
      </c>
      <c r="M15" s="48" t="s">
        <v>128</v>
      </c>
    </row>
    <row r="16" spans="1:13" x14ac:dyDescent="0.2">
      <c r="A16" s="49" t="s">
        <v>125</v>
      </c>
      <c r="B16" s="49"/>
      <c r="C16" s="49"/>
      <c r="D16" s="49"/>
      <c r="E16" s="49" t="s">
        <v>2</v>
      </c>
      <c r="F16" s="49" t="s">
        <v>31</v>
      </c>
      <c r="L16" s="48" t="s">
        <v>125</v>
      </c>
      <c r="M16" s="48" t="s">
        <v>128</v>
      </c>
    </row>
    <row r="17" spans="1:13" x14ac:dyDescent="0.2">
      <c r="A17" s="49" t="s">
        <v>75</v>
      </c>
      <c r="B17" s="49"/>
      <c r="C17" s="49"/>
      <c r="D17" s="49"/>
      <c r="E17" s="49" t="s">
        <v>2</v>
      </c>
      <c r="F17" s="49"/>
      <c r="L17" s="48" t="s">
        <v>125</v>
      </c>
      <c r="M17" s="48" t="s">
        <v>128</v>
      </c>
    </row>
    <row r="18" spans="1:13" x14ac:dyDescent="0.2">
      <c r="A18" s="49" t="s">
        <v>76</v>
      </c>
      <c r="B18" s="49"/>
      <c r="C18" s="49"/>
      <c r="D18" s="49"/>
      <c r="E18" s="51" t="s">
        <v>77</v>
      </c>
      <c r="F18" s="49" t="s">
        <v>78</v>
      </c>
      <c r="L18" s="48" t="s">
        <v>125</v>
      </c>
      <c r="M18" s="48" t="s">
        <v>128</v>
      </c>
    </row>
    <row r="19" spans="1:13" x14ac:dyDescent="0.2">
      <c r="A19" s="49" t="s">
        <v>79</v>
      </c>
      <c r="B19" s="49"/>
      <c r="C19" s="49"/>
      <c r="D19" s="49"/>
      <c r="E19" s="51" t="s">
        <v>2</v>
      </c>
      <c r="F19" s="49" t="s">
        <v>80</v>
      </c>
      <c r="L19" s="48" t="s">
        <v>125</v>
      </c>
      <c r="M19" s="48" t="s">
        <v>128</v>
      </c>
    </row>
    <row r="20" spans="1:13" x14ac:dyDescent="0.2">
      <c r="A20" s="49" t="s">
        <v>127</v>
      </c>
      <c r="B20" s="49"/>
      <c r="C20" s="49"/>
      <c r="D20" s="49"/>
      <c r="E20" s="49" t="s">
        <v>3</v>
      </c>
      <c r="F20" s="49" t="s">
        <v>85</v>
      </c>
      <c r="L20" s="48" t="s">
        <v>125</v>
      </c>
      <c r="M20" s="48" t="s">
        <v>128</v>
      </c>
    </row>
    <row r="21" spans="1:13" x14ac:dyDescent="0.2">
      <c r="L21" s="48" t="s">
        <v>125</v>
      </c>
      <c r="M21" s="48" t="s">
        <v>128</v>
      </c>
    </row>
    <row r="22" spans="1:13" ht="12.75" thickBot="1" x14ac:dyDescent="0.25">
      <c r="L22" s="48" t="s">
        <v>125</v>
      </c>
      <c r="M22" s="48" t="s">
        <v>128</v>
      </c>
    </row>
    <row r="23" spans="1:13" ht="12.75" thickBot="1" x14ac:dyDescent="0.25">
      <c r="A23" s="52" t="s">
        <v>46</v>
      </c>
      <c r="B23" s="53" t="s">
        <v>47</v>
      </c>
      <c r="C23" s="53" t="s">
        <v>48</v>
      </c>
      <c r="L23" s="48" t="s">
        <v>125</v>
      </c>
      <c r="M23" s="48" t="s">
        <v>128</v>
      </c>
    </row>
    <row r="24" spans="1:13" ht="12.75" thickBot="1" x14ac:dyDescent="0.25">
      <c r="A24" s="54" t="s">
        <v>49</v>
      </c>
      <c r="B24" s="55" t="s">
        <v>21</v>
      </c>
      <c r="C24" s="55"/>
      <c r="L24" s="48" t="s">
        <v>125</v>
      </c>
      <c r="M24" s="48" t="s">
        <v>128</v>
      </c>
    </row>
    <row r="25" spans="1:13" ht="12.75" thickBot="1" x14ac:dyDescent="0.25">
      <c r="A25" s="54" t="s">
        <v>50</v>
      </c>
      <c r="B25" s="55" t="s">
        <v>22</v>
      </c>
      <c r="C25" s="55"/>
      <c r="L25" s="48" t="s">
        <v>125</v>
      </c>
      <c r="M25" s="48" t="s">
        <v>128</v>
      </c>
    </row>
    <row r="26" spans="1:13" ht="12.75" thickBot="1" x14ac:dyDescent="0.25">
      <c r="A26" s="54" t="s">
        <v>51</v>
      </c>
      <c r="B26" s="55" t="s">
        <v>23</v>
      </c>
      <c r="C26" s="55"/>
      <c r="L26" s="48" t="s">
        <v>125</v>
      </c>
      <c r="M26" s="48" t="s">
        <v>128</v>
      </c>
    </row>
    <row r="27" spans="1:13" ht="12.75" thickBot="1" x14ac:dyDescent="0.25">
      <c r="A27" s="54" t="s">
        <v>52</v>
      </c>
      <c r="B27" s="56" t="s">
        <v>25</v>
      </c>
      <c r="C27" s="55" t="s">
        <v>53</v>
      </c>
      <c r="L27" s="48" t="s">
        <v>125</v>
      </c>
      <c r="M27" s="48" t="s">
        <v>128</v>
      </c>
    </row>
    <row r="28" spans="1:13" ht="12.75" thickBot="1" x14ac:dyDescent="0.25">
      <c r="A28" s="54" t="s">
        <v>54</v>
      </c>
      <c r="B28" s="55" t="s">
        <v>26</v>
      </c>
      <c r="C28" s="55"/>
      <c r="L28" s="48" t="s">
        <v>125</v>
      </c>
      <c r="M28" s="48" t="s">
        <v>128</v>
      </c>
    </row>
    <row r="29" spans="1:13" ht="12.75" thickBot="1" x14ac:dyDescent="0.25">
      <c r="A29" s="57" t="s">
        <v>55</v>
      </c>
      <c r="B29" s="55" t="s">
        <v>56</v>
      </c>
      <c r="C29" s="55"/>
    </row>
    <row r="30" spans="1:13" ht="12.75" thickBot="1" x14ac:dyDescent="0.25">
      <c r="A30" s="54" t="s">
        <v>57</v>
      </c>
      <c r="B30" s="55" t="s">
        <v>6</v>
      </c>
      <c r="C30" s="55"/>
    </row>
    <row r="31" spans="1:13" ht="12.75" thickBot="1" x14ac:dyDescent="0.25">
      <c r="A31" s="57" t="s">
        <v>58</v>
      </c>
      <c r="B31" s="55" t="s">
        <v>59</v>
      </c>
      <c r="C31" s="55"/>
    </row>
  </sheetData>
  <mergeCells count="1">
    <mergeCell ref="C1:D1"/>
  </mergeCells>
  <conditionalFormatting sqref="A1:A1048576">
    <cfRule type="duplicateValues" dxfId="0" priority="1"/>
  </conditionalFormatting>
  <pageMargins left="0.7" right="0.7" top="0.75" bottom="0.75" header="0.3" footer="0.3"/>
  <pageSetup orientation="portrait" horizontalDpi="1200" verticalDpi="1200" r:id="rId1"/>
  <headerFooter>
    <oddFooter>&amp;C&amp;1#&amp;"Calibri"&amp;8&amp;K000000Classified - Confidential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1:N79"/>
  <sheetViews>
    <sheetView topLeftCell="I1" workbookViewId="0">
      <selection activeCell="I1" sqref="I1"/>
    </sheetView>
  </sheetViews>
  <sheetFormatPr defaultColWidth="18.85546875" defaultRowHeight="15" x14ac:dyDescent="0.25"/>
  <cols>
    <col min="1" max="1" width="2.7109375" customWidth="1"/>
    <col min="2" max="2" width="25.7109375" customWidth="1"/>
    <col min="3" max="7" width="21.7109375" customWidth="1"/>
    <col min="8" max="8" width="24.140625" bestFit="1" customWidth="1"/>
    <col min="9" max="9" width="19.42578125" customWidth="1"/>
    <col min="10" max="10" width="6.140625" style="48" bestFit="1" customWidth="1"/>
    <col min="11" max="11" width="10.140625" style="48" bestFit="1" customWidth="1"/>
    <col min="12" max="12" width="51.85546875" style="48" bestFit="1" customWidth="1"/>
    <col min="13" max="13" width="53.85546875" style="48" bestFit="1" customWidth="1"/>
    <col min="14" max="14" width="43" style="48" bestFit="1" customWidth="1"/>
  </cols>
  <sheetData>
    <row r="1" spans="2:14" ht="15.75" thickBot="1" x14ac:dyDescent="0.3">
      <c r="B1" s="108" t="s">
        <v>32</v>
      </c>
      <c r="C1" s="109"/>
      <c r="D1" s="109"/>
      <c r="E1" s="109"/>
      <c r="F1" s="109"/>
      <c r="G1" s="110"/>
      <c r="J1" s="47" t="s">
        <v>71</v>
      </c>
      <c r="K1" s="47" t="s">
        <v>66</v>
      </c>
      <c r="L1" s="47" t="s">
        <v>105</v>
      </c>
      <c r="M1" s="47" t="s">
        <v>97</v>
      </c>
      <c r="N1" s="47" t="s">
        <v>98</v>
      </c>
    </row>
    <row r="2" spans="2:14" x14ac:dyDescent="0.25">
      <c r="B2" s="91"/>
      <c r="C2" s="1"/>
      <c r="D2" s="92"/>
      <c r="E2" s="2"/>
      <c r="F2" s="3"/>
      <c r="G2" s="98"/>
      <c r="J2" s="49">
        <v>4300</v>
      </c>
      <c r="K2" s="49" t="s">
        <v>107</v>
      </c>
      <c r="L2" s="81" t="s">
        <v>108</v>
      </c>
      <c r="M2" s="88" t="s">
        <v>113</v>
      </c>
      <c r="N2" s="49" t="s">
        <v>95</v>
      </c>
    </row>
    <row r="3" spans="2:14" x14ac:dyDescent="0.25">
      <c r="B3" s="58" t="s">
        <v>86</v>
      </c>
      <c r="C3" s="5"/>
      <c r="D3" s="70"/>
      <c r="E3" s="5"/>
      <c r="F3" s="6"/>
      <c r="G3" s="99"/>
      <c r="J3" s="49">
        <v>4600</v>
      </c>
      <c r="K3" s="49" t="s">
        <v>91</v>
      </c>
      <c r="L3" s="81" t="s">
        <v>120</v>
      </c>
      <c r="M3" t="s">
        <v>114</v>
      </c>
      <c r="N3" s="49" t="s">
        <v>96</v>
      </c>
    </row>
    <row r="4" spans="2:14" x14ac:dyDescent="0.25">
      <c r="B4" s="58" t="s">
        <v>124</v>
      </c>
      <c r="C4" s="5"/>
      <c r="D4" s="90"/>
      <c r="E4" s="41"/>
      <c r="F4" s="6"/>
      <c r="G4" s="99"/>
      <c r="H4" s="7"/>
      <c r="I4" s="7"/>
      <c r="J4" s="49">
        <v>4620</v>
      </c>
      <c r="K4" s="49" t="s">
        <v>89</v>
      </c>
      <c r="L4" s="81" t="s">
        <v>120</v>
      </c>
      <c r="M4" t="s">
        <v>114</v>
      </c>
      <c r="N4" s="49" t="s">
        <v>96</v>
      </c>
    </row>
    <row r="5" spans="2:14" x14ac:dyDescent="0.25">
      <c r="B5" s="72" t="s">
        <v>87</v>
      </c>
      <c r="C5" s="5"/>
      <c r="E5" s="5"/>
      <c r="F5" s="6"/>
      <c r="G5" s="99"/>
      <c r="H5" s="8"/>
      <c r="I5" s="9"/>
      <c r="J5" s="49">
        <v>4700</v>
      </c>
      <c r="K5" s="49" t="s">
        <v>94</v>
      </c>
      <c r="L5" s="49" t="s">
        <v>70</v>
      </c>
      <c r="M5" t="s">
        <v>115</v>
      </c>
      <c r="N5" s="49" t="s">
        <v>99</v>
      </c>
    </row>
    <row r="6" spans="2:14" x14ac:dyDescent="0.25">
      <c r="B6" s="4"/>
      <c r="C6" s="5"/>
      <c r="D6" s="111" t="s">
        <v>33</v>
      </c>
      <c r="E6" s="111"/>
      <c r="F6" s="6"/>
      <c r="G6" s="99"/>
      <c r="H6" s="8"/>
      <c r="I6" s="10"/>
      <c r="J6" s="49">
        <v>4800</v>
      </c>
      <c r="K6" s="49" t="s">
        <v>93</v>
      </c>
      <c r="L6" s="49" t="s">
        <v>69</v>
      </c>
      <c r="M6" t="s">
        <v>116</v>
      </c>
      <c r="N6" s="49" t="s">
        <v>100</v>
      </c>
    </row>
    <row r="7" spans="2:14" x14ac:dyDescent="0.25">
      <c r="B7" s="4"/>
      <c r="C7" s="5"/>
      <c r="E7" s="5"/>
      <c r="F7" s="6"/>
      <c r="G7" s="99"/>
      <c r="H7" s="8"/>
      <c r="I7" s="10"/>
      <c r="J7" s="49">
        <v>4810</v>
      </c>
      <c r="K7" s="49" t="s">
        <v>109</v>
      </c>
      <c r="L7" s="81" t="s">
        <v>69</v>
      </c>
      <c r="M7" t="s">
        <v>116</v>
      </c>
      <c r="N7" s="49" t="s">
        <v>100</v>
      </c>
    </row>
    <row r="8" spans="2:14" x14ac:dyDescent="0.25">
      <c r="B8" s="89" t="s">
        <v>34</v>
      </c>
      <c r="C8" s="11" t="s">
        <v>35</v>
      </c>
      <c r="E8" s="5"/>
      <c r="F8" s="6"/>
      <c r="G8" s="99"/>
      <c r="H8" s="12"/>
      <c r="I8" s="9"/>
      <c r="J8" s="49">
        <v>4900</v>
      </c>
      <c r="K8" s="49" t="s">
        <v>88</v>
      </c>
      <c r="L8" s="49" t="s">
        <v>67</v>
      </c>
      <c r="M8" t="s">
        <v>117</v>
      </c>
      <c r="N8" s="49" t="s">
        <v>101</v>
      </c>
    </row>
    <row r="9" spans="2:14" x14ac:dyDescent="0.25">
      <c r="B9" s="89" t="s">
        <v>36</v>
      </c>
      <c r="C9" s="13" t="s">
        <v>37</v>
      </c>
      <c r="E9" s="5"/>
      <c r="F9" s="6"/>
      <c r="G9" s="99"/>
      <c r="H9" s="12"/>
      <c r="I9" s="10"/>
      <c r="J9" s="49">
        <v>4920</v>
      </c>
      <c r="K9" s="82" t="s">
        <v>110</v>
      </c>
      <c r="L9" s="49" t="s">
        <v>67</v>
      </c>
      <c r="M9" t="s">
        <v>117</v>
      </c>
      <c r="N9" s="49" t="s">
        <v>101</v>
      </c>
    </row>
    <row r="10" spans="2:14" x14ac:dyDescent="0.25">
      <c r="B10" s="89" t="s">
        <v>63</v>
      </c>
      <c r="E10" s="5"/>
      <c r="F10" s="6"/>
      <c r="G10" s="99"/>
      <c r="H10" s="12"/>
      <c r="J10" s="49">
        <v>5000</v>
      </c>
      <c r="K10" s="49" t="s">
        <v>112</v>
      </c>
      <c r="L10" s="80" t="s">
        <v>111</v>
      </c>
      <c r="M10" t="s">
        <v>118</v>
      </c>
      <c r="N10" s="49" t="s">
        <v>102</v>
      </c>
    </row>
    <row r="11" spans="2:14" x14ac:dyDescent="0.25">
      <c r="B11" s="89" t="s">
        <v>126</v>
      </c>
      <c r="C11" s="13" t="s">
        <v>38</v>
      </c>
      <c r="D11" s="15"/>
      <c r="E11" s="15"/>
      <c r="F11" s="6"/>
      <c r="G11" s="99"/>
      <c r="J11" s="49">
        <v>5200</v>
      </c>
      <c r="K11" s="49" t="s">
        <v>92</v>
      </c>
      <c r="L11" s="49" t="s">
        <v>68</v>
      </c>
      <c r="M11" t="s">
        <v>119</v>
      </c>
      <c r="N11" s="49" t="s">
        <v>103</v>
      </c>
    </row>
    <row r="12" spans="2:14" x14ac:dyDescent="0.25">
      <c r="B12" s="89" t="s">
        <v>62</v>
      </c>
      <c r="C12" s="16"/>
      <c r="F12" s="6"/>
      <c r="G12" s="99"/>
      <c r="J12" s="49">
        <v>5300</v>
      </c>
      <c r="K12" s="49" t="s">
        <v>90</v>
      </c>
      <c r="L12" s="81" t="s">
        <v>121</v>
      </c>
      <c r="M12" t="s">
        <v>32</v>
      </c>
      <c r="N12" s="49" t="s">
        <v>104</v>
      </c>
    </row>
    <row r="13" spans="2:14" x14ac:dyDescent="0.25">
      <c r="B13" s="89"/>
      <c r="C13" s="14"/>
      <c r="F13" s="59"/>
      <c r="G13" s="99"/>
      <c r="J13" s="49">
        <v>5210</v>
      </c>
      <c r="K13" s="49" t="s">
        <v>92</v>
      </c>
      <c r="L13" s="49" t="s">
        <v>68</v>
      </c>
      <c r="M13" t="s">
        <v>119</v>
      </c>
      <c r="N13" s="49" t="s">
        <v>103</v>
      </c>
    </row>
    <row r="14" spans="2:14" ht="15.75" thickBot="1" x14ac:dyDescent="0.3">
      <c r="B14" s="4"/>
      <c r="C14" s="5"/>
      <c r="F14" s="6"/>
      <c r="G14" s="99"/>
    </row>
    <row r="15" spans="2:14" ht="15.75" thickBot="1" x14ac:dyDescent="0.3">
      <c r="B15" s="112" t="s">
        <v>106</v>
      </c>
      <c r="C15" s="113"/>
      <c r="D15" s="113"/>
      <c r="E15" s="114"/>
      <c r="F15" s="60" t="s">
        <v>39</v>
      </c>
      <c r="G15" s="106"/>
      <c r="H15" s="17"/>
    </row>
    <row r="16" spans="2:14" ht="15.75" thickBot="1" x14ac:dyDescent="0.3">
      <c r="B16" s="93"/>
      <c r="C16" s="94"/>
      <c r="D16" s="95"/>
      <c r="E16" s="94"/>
      <c r="F16" s="43"/>
      <c r="G16" s="100"/>
      <c r="M16" s="86"/>
    </row>
    <row r="17" spans="2:13" ht="15.75" thickBot="1" x14ac:dyDescent="0.3">
      <c r="B17" s="61"/>
      <c r="C17" s="18"/>
      <c r="D17" s="18"/>
      <c r="E17" s="19"/>
      <c r="F17" s="20"/>
      <c r="G17" s="101"/>
      <c r="M17" s="84"/>
    </row>
    <row r="18" spans="2:13" ht="15.75" thickBot="1" x14ac:dyDescent="0.3">
      <c r="B18" s="28" t="s">
        <v>49</v>
      </c>
      <c r="C18" s="21"/>
      <c r="D18" s="22"/>
      <c r="E18" s="23"/>
      <c r="F18" s="35"/>
      <c r="G18" s="104">
        <f>SUM(G19:G22)</f>
        <v>0</v>
      </c>
      <c r="H18" s="17"/>
      <c r="M18" s="84"/>
    </row>
    <row r="19" spans="2:13" x14ac:dyDescent="0.25">
      <c r="B19" s="62" t="s">
        <v>40</v>
      </c>
      <c r="C19" s="30" t="s">
        <v>43</v>
      </c>
      <c r="D19" s="30" t="s">
        <v>41</v>
      </c>
      <c r="E19" s="30" t="s">
        <v>19</v>
      </c>
      <c r="F19" s="35"/>
      <c r="G19" s="35"/>
      <c r="M19" s="85"/>
    </row>
    <row r="20" spans="2:13" x14ac:dyDescent="0.25">
      <c r="B20" s="24"/>
      <c r="C20" s="14"/>
      <c r="D20" s="5"/>
      <c r="E20" s="25"/>
      <c r="F20" s="26"/>
      <c r="G20" s="35"/>
      <c r="M20" s="86"/>
    </row>
    <row r="21" spans="2:13" x14ac:dyDescent="0.25">
      <c r="B21" s="24"/>
      <c r="C21" s="14"/>
      <c r="D21" s="5"/>
      <c r="E21" s="25"/>
      <c r="F21" s="26"/>
      <c r="G21" s="35"/>
      <c r="M21" s="84"/>
    </row>
    <row r="22" spans="2:13" ht="15.75" thickBot="1" x14ac:dyDescent="0.3">
      <c r="B22" s="63"/>
      <c r="C22" s="14"/>
      <c r="D22" s="5"/>
      <c r="E22" s="5"/>
      <c r="F22" s="27"/>
      <c r="G22" s="35"/>
      <c r="M22" s="84"/>
    </row>
    <row r="23" spans="2:13" ht="15.75" thickBot="1" x14ac:dyDescent="0.3">
      <c r="B23" s="28" t="s">
        <v>50</v>
      </c>
      <c r="C23" s="29"/>
      <c r="D23" s="22"/>
      <c r="E23" s="23"/>
      <c r="F23" s="27"/>
      <c r="G23" s="104">
        <f>SUM(G24:G27)</f>
        <v>0</v>
      </c>
      <c r="H23" s="17"/>
      <c r="M23" s="85"/>
    </row>
    <row r="24" spans="2:13" x14ac:dyDescent="0.25">
      <c r="B24" s="62" t="s">
        <v>40</v>
      </c>
      <c r="C24" s="30" t="s">
        <v>43</v>
      </c>
      <c r="D24" s="30" t="s">
        <v>41</v>
      </c>
      <c r="E24" s="30" t="s">
        <v>19</v>
      </c>
      <c r="F24" s="27"/>
      <c r="G24" s="35"/>
      <c r="M24" s="87"/>
    </row>
    <row r="25" spans="2:13" x14ac:dyDescent="0.25">
      <c r="B25" s="24"/>
      <c r="C25" s="14"/>
      <c r="D25" s="22"/>
      <c r="E25" s="22"/>
      <c r="F25" s="27"/>
      <c r="G25" s="35"/>
    </row>
    <row r="26" spans="2:13" x14ac:dyDescent="0.25">
      <c r="B26" s="24"/>
      <c r="C26" s="14"/>
      <c r="D26" s="22"/>
      <c r="E26" s="22"/>
      <c r="F26" s="27"/>
      <c r="G26" s="35"/>
    </row>
    <row r="27" spans="2:13" ht="15.75" thickBot="1" x14ac:dyDescent="0.3">
      <c r="B27" s="24"/>
      <c r="C27" s="14"/>
      <c r="D27" s="22"/>
      <c r="E27" s="22"/>
      <c r="F27" s="27"/>
      <c r="G27" s="35"/>
    </row>
    <row r="28" spans="2:13" ht="15.75" thickBot="1" x14ac:dyDescent="0.3">
      <c r="B28" s="28" t="s">
        <v>75</v>
      </c>
      <c r="C28" s="29"/>
      <c r="D28" s="22"/>
      <c r="E28" s="23"/>
      <c r="F28" s="27"/>
      <c r="G28" s="104">
        <f>SUM(G29:G32)</f>
        <v>0</v>
      </c>
    </row>
    <row r="29" spans="2:13" x14ac:dyDescent="0.25">
      <c r="B29" s="62" t="s">
        <v>40</v>
      </c>
      <c r="C29" s="30" t="s">
        <v>43</v>
      </c>
      <c r="D29" s="30" t="s">
        <v>41</v>
      </c>
      <c r="E29" s="30" t="s">
        <v>19</v>
      </c>
      <c r="F29" s="27"/>
      <c r="G29" s="35"/>
    </row>
    <row r="30" spans="2:13" x14ac:dyDescent="0.25">
      <c r="B30" s="24"/>
      <c r="C30" s="14"/>
      <c r="D30" s="22"/>
      <c r="E30" s="22"/>
      <c r="F30" s="27"/>
      <c r="G30" s="35"/>
    </row>
    <row r="31" spans="2:13" x14ac:dyDescent="0.25">
      <c r="B31" s="24"/>
      <c r="C31" s="14"/>
      <c r="D31" s="22"/>
      <c r="E31" s="22"/>
      <c r="F31" s="27"/>
      <c r="G31" s="35"/>
    </row>
    <row r="32" spans="2:13" ht="15.75" thickBot="1" x14ac:dyDescent="0.3">
      <c r="B32" s="24"/>
      <c r="C32" s="14"/>
      <c r="D32" s="22"/>
      <c r="E32" s="22"/>
      <c r="F32" s="27"/>
      <c r="G32" s="35"/>
    </row>
    <row r="33" spans="2:8" ht="15.75" thickBot="1" x14ac:dyDescent="0.3">
      <c r="B33" s="28" t="s">
        <v>72</v>
      </c>
      <c r="C33" s="29"/>
      <c r="D33" s="22"/>
      <c r="E33" s="23"/>
      <c r="F33" s="27"/>
      <c r="G33" s="104">
        <f>SUM(G34:G37)</f>
        <v>0</v>
      </c>
    </row>
    <row r="34" spans="2:8" x14ac:dyDescent="0.25">
      <c r="B34" s="62" t="s">
        <v>40</v>
      </c>
      <c r="C34" s="30" t="s">
        <v>43</v>
      </c>
      <c r="D34" s="30" t="s">
        <v>41</v>
      </c>
      <c r="E34" s="30" t="s">
        <v>19</v>
      </c>
      <c r="F34" s="27"/>
      <c r="G34" s="35"/>
    </row>
    <row r="35" spans="2:8" x14ac:dyDescent="0.25">
      <c r="B35" s="24"/>
      <c r="C35" s="14"/>
      <c r="D35" s="22"/>
      <c r="E35" s="22"/>
      <c r="F35" s="27"/>
      <c r="G35" s="35"/>
    </row>
    <row r="36" spans="2:8" x14ac:dyDescent="0.25">
      <c r="B36" s="24"/>
      <c r="C36" s="14"/>
      <c r="D36" s="22"/>
      <c r="E36" s="22"/>
      <c r="F36" s="27"/>
      <c r="G36" s="35"/>
    </row>
    <row r="37" spans="2:8" ht="15.75" thickBot="1" x14ac:dyDescent="0.3">
      <c r="B37" s="24"/>
      <c r="C37" s="14"/>
      <c r="D37" s="22"/>
      <c r="E37" s="22"/>
      <c r="F37" s="27"/>
      <c r="G37" s="35"/>
    </row>
    <row r="38" spans="2:8" ht="15.75" thickBot="1" x14ac:dyDescent="0.3">
      <c r="B38" s="28" t="s">
        <v>73</v>
      </c>
      <c r="C38" s="29"/>
      <c r="D38" s="22"/>
      <c r="E38" s="23"/>
      <c r="F38" s="27"/>
      <c r="G38" s="104">
        <f>SUM(G39:G42)</f>
        <v>0</v>
      </c>
    </row>
    <row r="39" spans="2:8" x14ac:dyDescent="0.25">
      <c r="B39" s="62" t="s">
        <v>40</v>
      </c>
      <c r="C39" s="30" t="s">
        <v>43</v>
      </c>
      <c r="D39" s="30" t="s">
        <v>41</v>
      </c>
      <c r="E39" s="30" t="s">
        <v>19</v>
      </c>
      <c r="F39" s="27"/>
      <c r="G39" s="35"/>
    </row>
    <row r="40" spans="2:8" x14ac:dyDescent="0.25">
      <c r="B40" s="24"/>
      <c r="C40" s="14"/>
      <c r="D40" s="22"/>
      <c r="E40" s="22"/>
      <c r="F40" s="27"/>
      <c r="G40" s="35"/>
    </row>
    <row r="41" spans="2:8" x14ac:dyDescent="0.25">
      <c r="B41" s="24"/>
      <c r="C41" s="14"/>
      <c r="D41" s="22"/>
      <c r="E41" s="64"/>
      <c r="F41" s="26"/>
      <c r="G41" s="35"/>
    </row>
    <row r="42" spans="2:8" ht="15.75" thickBot="1" x14ac:dyDescent="0.3">
      <c r="B42" s="24"/>
      <c r="C42" s="14"/>
      <c r="D42" s="5"/>
      <c r="E42" s="31"/>
      <c r="F42" s="27"/>
      <c r="G42" s="35"/>
    </row>
    <row r="43" spans="2:8" ht="15.75" thickBot="1" x14ac:dyDescent="0.3">
      <c r="B43" s="28" t="s">
        <v>64</v>
      </c>
      <c r="C43" s="32"/>
      <c r="D43" s="22"/>
      <c r="E43" s="33"/>
      <c r="F43" s="27"/>
      <c r="G43" s="104">
        <f>SUM(G44:G47)</f>
        <v>0</v>
      </c>
      <c r="H43" s="17"/>
    </row>
    <row r="44" spans="2:8" x14ac:dyDescent="0.25">
      <c r="B44" s="62" t="s">
        <v>40</v>
      </c>
      <c r="C44" s="30" t="s">
        <v>43</v>
      </c>
      <c r="D44" s="30" t="s">
        <v>42</v>
      </c>
      <c r="E44" s="30" t="s">
        <v>19</v>
      </c>
      <c r="F44" s="27"/>
      <c r="G44" s="35"/>
    </row>
    <row r="45" spans="2:8" x14ac:dyDescent="0.25">
      <c r="B45" s="24"/>
      <c r="C45" s="5"/>
      <c r="D45" s="22"/>
      <c r="E45" s="22"/>
      <c r="F45" s="27"/>
      <c r="G45" s="35"/>
    </row>
    <row r="46" spans="2:8" x14ac:dyDescent="0.25">
      <c r="B46" s="24"/>
      <c r="C46" s="36"/>
      <c r="D46" s="22"/>
      <c r="E46" s="22"/>
      <c r="F46" s="27"/>
      <c r="G46" s="35"/>
    </row>
    <row r="47" spans="2:8" ht="15.75" thickBot="1" x14ac:dyDescent="0.3">
      <c r="B47" s="24"/>
      <c r="C47" s="14"/>
      <c r="D47" s="5"/>
      <c r="E47" s="34"/>
      <c r="F47" s="27"/>
      <c r="G47" s="35"/>
    </row>
    <row r="48" spans="2:8" ht="15.75" thickBot="1" x14ac:dyDescent="0.3">
      <c r="B48" s="28" t="s">
        <v>122</v>
      </c>
      <c r="C48" s="23"/>
      <c r="D48" s="22"/>
      <c r="E48" s="30"/>
      <c r="F48" s="27"/>
      <c r="G48" s="104">
        <f>SUM(G49:G52)</f>
        <v>0</v>
      </c>
      <c r="H48" s="17"/>
    </row>
    <row r="49" spans="2:8" x14ac:dyDescent="0.25">
      <c r="B49" s="62" t="s">
        <v>40</v>
      </c>
      <c r="C49" s="30" t="s">
        <v>43</v>
      </c>
      <c r="D49" s="30" t="s">
        <v>42</v>
      </c>
      <c r="E49" s="30" t="s">
        <v>19</v>
      </c>
      <c r="F49" s="35"/>
      <c r="G49" s="35"/>
    </row>
    <row r="50" spans="2:8" x14ac:dyDescent="0.25">
      <c r="B50" s="24"/>
      <c r="C50" s="36"/>
      <c r="D50" s="22"/>
      <c r="E50" s="22"/>
      <c r="F50" s="35"/>
      <c r="G50" s="35"/>
    </row>
    <row r="51" spans="2:8" x14ac:dyDescent="0.25">
      <c r="B51" s="24"/>
      <c r="C51" s="14"/>
      <c r="D51" s="5"/>
      <c r="E51" s="34"/>
      <c r="F51" s="26"/>
      <c r="G51" s="35"/>
    </row>
    <row r="52" spans="2:8" ht="15.75" thickBot="1" x14ac:dyDescent="0.3">
      <c r="B52" s="24"/>
      <c r="C52" s="14"/>
      <c r="D52" s="5"/>
      <c r="E52" s="34"/>
      <c r="F52" s="26"/>
      <c r="G52" s="35"/>
    </row>
    <row r="53" spans="2:8" ht="15.75" thickBot="1" x14ac:dyDescent="0.3">
      <c r="B53" s="62" t="s">
        <v>65</v>
      </c>
      <c r="C53" s="36"/>
      <c r="D53" s="22"/>
      <c r="E53" s="22"/>
      <c r="F53" s="27"/>
      <c r="G53" s="104">
        <f>SUM(G54:G57)</f>
        <v>0</v>
      </c>
      <c r="H53" s="17"/>
    </row>
    <row r="54" spans="2:8" x14ac:dyDescent="0.25">
      <c r="B54" s="62" t="s">
        <v>40</v>
      </c>
      <c r="C54" s="30" t="s">
        <v>43</v>
      </c>
      <c r="D54" s="30" t="s">
        <v>42</v>
      </c>
      <c r="E54" s="30" t="s">
        <v>19</v>
      </c>
      <c r="F54" s="35"/>
      <c r="G54" s="96"/>
    </row>
    <row r="55" spans="2:8" x14ac:dyDescent="0.25">
      <c r="B55" s="24"/>
      <c r="C55" s="36"/>
      <c r="D55" s="22"/>
      <c r="E55" s="22"/>
      <c r="F55" s="35"/>
      <c r="G55" s="102"/>
    </row>
    <row r="56" spans="2:8" x14ac:dyDescent="0.25">
      <c r="B56" s="24"/>
      <c r="C56" s="36"/>
      <c r="D56" s="22"/>
      <c r="E56" s="22"/>
      <c r="F56" s="26"/>
      <c r="G56" s="102"/>
    </row>
    <row r="57" spans="2:8" ht="15.75" thickBot="1" x14ac:dyDescent="0.3">
      <c r="B57" s="24"/>
      <c r="C57" s="36"/>
      <c r="D57" s="22"/>
      <c r="E57" s="22"/>
      <c r="F57" s="26"/>
      <c r="G57" s="102"/>
    </row>
    <row r="58" spans="2:8" ht="15.75" thickBot="1" x14ac:dyDescent="0.3">
      <c r="B58" s="62" t="s">
        <v>74</v>
      </c>
      <c r="C58" s="36"/>
      <c r="D58" s="22"/>
      <c r="E58" s="22"/>
      <c r="F58" s="27"/>
      <c r="G58" s="104">
        <f>SUM(G59:G63)</f>
        <v>0</v>
      </c>
    </row>
    <row r="59" spans="2:8" x14ac:dyDescent="0.25">
      <c r="B59" s="62" t="s">
        <v>40</v>
      </c>
      <c r="C59" s="30" t="s">
        <v>43</v>
      </c>
      <c r="D59" s="30" t="s">
        <v>42</v>
      </c>
      <c r="E59" s="30" t="s">
        <v>19</v>
      </c>
      <c r="F59" s="35"/>
      <c r="G59" s="96"/>
    </row>
    <row r="60" spans="2:8" x14ac:dyDescent="0.25">
      <c r="B60" s="24"/>
      <c r="C60" s="36"/>
      <c r="D60" s="22"/>
      <c r="E60" s="22"/>
      <c r="F60" s="35"/>
      <c r="G60" s="102"/>
    </row>
    <row r="61" spans="2:8" x14ac:dyDescent="0.25">
      <c r="B61" s="24"/>
      <c r="C61" s="36"/>
      <c r="D61" s="22"/>
      <c r="E61" s="22"/>
      <c r="F61" s="35"/>
      <c r="G61" s="102"/>
    </row>
    <row r="62" spans="2:8" x14ac:dyDescent="0.25">
      <c r="B62" s="24"/>
      <c r="C62" s="36"/>
      <c r="D62" s="22"/>
      <c r="E62" s="22"/>
      <c r="F62" s="26"/>
      <c r="G62" s="102"/>
    </row>
    <row r="63" spans="2:8" ht="15.75" thickBot="1" x14ac:dyDescent="0.3">
      <c r="B63" s="24"/>
      <c r="C63" s="36"/>
      <c r="D63" s="22"/>
      <c r="E63" s="22"/>
      <c r="F63" s="26"/>
      <c r="G63" s="102"/>
    </row>
    <row r="64" spans="2:8" ht="15.75" thickBot="1" x14ac:dyDescent="0.3">
      <c r="B64" s="37"/>
      <c r="C64" s="38"/>
      <c r="D64" s="39"/>
      <c r="E64" s="65"/>
      <c r="F64" s="66"/>
      <c r="G64" s="103"/>
      <c r="H64" s="17"/>
    </row>
    <row r="65" spans="2:8" ht="16.5" thickTop="1" thickBot="1" x14ac:dyDescent="0.3">
      <c r="B65" s="40"/>
      <c r="C65" s="22"/>
      <c r="D65" s="41"/>
      <c r="E65" s="67" t="s">
        <v>61</v>
      </c>
      <c r="F65" s="68"/>
      <c r="G65" s="105">
        <f>$G18+$G23+$G28+$G33+$G38+$G43+$G48+$G53+$G58</f>
        <v>0</v>
      </c>
      <c r="H65" s="17"/>
    </row>
    <row r="66" spans="2:8" ht="16.5" thickTop="1" thickBot="1" x14ac:dyDescent="0.3">
      <c r="B66" s="69"/>
      <c r="E66" s="67" t="s">
        <v>44</v>
      </c>
      <c r="G66" s="105">
        <f>G15-G65</f>
        <v>0</v>
      </c>
    </row>
    <row r="67" spans="2:8" ht="15.75" thickTop="1" x14ac:dyDescent="0.25">
      <c r="B67" s="69"/>
      <c r="G67" s="97"/>
    </row>
    <row r="68" spans="2:8" x14ac:dyDescent="0.25">
      <c r="B68" s="58" t="s">
        <v>86</v>
      </c>
      <c r="C68" s="70"/>
      <c r="D68" s="71"/>
      <c r="F68" s="6"/>
      <c r="G68" s="99" t="s">
        <v>45</v>
      </c>
    </row>
    <row r="69" spans="2:8" x14ac:dyDescent="0.25">
      <c r="B69" s="58" t="s">
        <v>124</v>
      </c>
      <c r="C69" s="34"/>
      <c r="D69" s="71"/>
      <c r="E69" s="71"/>
      <c r="F69" s="6"/>
      <c r="G69" s="99"/>
    </row>
    <row r="70" spans="2:8" x14ac:dyDescent="0.25">
      <c r="B70" s="72" t="s">
        <v>87</v>
      </c>
      <c r="C70" s="34"/>
      <c r="D70" s="71"/>
      <c r="E70" s="71"/>
      <c r="F70" s="6"/>
      <c r="G70" s="99"/>
    </row>
    <row r="71" spans="2:8" x14ac:dyDescent="0.25">
      <c r="B71" s="73"/>
      <c r="C71" s="71"/>
      <c r="D71" s="71"/>
      <c r="E71" s="74"/>
      <c r="F71" s="6"/>
      <c r="G71" s="99"/>
    </row>
    <row r="72" spans="2:8" x14ac:dyDescent="0.25">
      <c r="B72" s="73"/>
      <c r="C72" s="71"/>
      <c r="D72" s="71"/>
      <c r="E72" s="74"/>
      <c r="F72" s="6"/>
      <c r="G72" s="99"/>
    </row>
    <row r="73" spans="2:8" x14ac:dyDescent="0.25">
      <c r="B73" s="73"/>
      <c r="C73" s="71"/>
      <c r="D73" s="71"/>
      <c r="E73" s="74"/>
      <c r="F73" s="6"/>
      <c r="G73" s="99"/>
      <c r="H73" s="17"/>
    </row>
    <row r="74" spans="2:8" x14ac:dyDescent="0.25">
      <c r="B74" s="73"/>
      <c r="C74" s="71"/>
      <c r="D74" s="71"/>
      <c r="E74" s="74"/>
      <c r="F74" s="6"/>
      <c r="G74" s="99"/>
    </row>
    <row r="75" spans="2:8" x14ac:dyDescent="0.25">
      <c r="B75" s="73"/>
      <c r="C75" s="71"/>
      <c r="D75" s="71"/>
      <c r="E75" s="74"/>
      <c r="F75" s="6"/>
      <c r="G75" s="99"/>
    </row>
    <row r="76" spans="2:8" x14ac:dyDescent="0.25">
      <c r="B76" s="75"/>
      <c r="C76" s="42"/>
      <c r="D76" s="71"/>
      <c r="E76" s="5"/>
      <c r="F76" s="6"/>
      <c r="G76" s="99"/>
    </row>
    <row r="77" spans="2:8" ht="15.75" thickBot="1" x14ac:dyDescent="0.3">
      <c r="B77" s="76"/>
      <c r="C77" s="77"/>
      <c r="D77" s="77"/>
      <c r="E77" s="78"/>
      <c r="F77" s="43"/>
      <c r="G77" s="100"/>
    </row>
    <row r="78" spans="2:8" x14ac:dyDescent="0.25">
      <c r="B78" s="79" t="s">
        <v>60</v>
      </c>
    </row>
    <row r="79" spans="2:8" x14ac:dyDescent="0.25">
      <c r="B79" s="79" t="s">
        <v>60</v>
      </c>
    </row>
  </sheetData>
  <sortState xmlns:xlrd2="http://schemas.microsoft.com/office/spreadsheetml/2017/richdata2" ref="J2:N13">
    <sortCondition ref="J2:J13"/>
  </sortState>
  <mergeCells count="3">
    <mergeCell ref="B1:G1"/>
    <mergeCell ref="D6:E6"/>
    <mergeCell ref="B15:E15"/>
  </mergeCells>
  <hyperlinks>
    <hyperlink ref="N6" r:id="rId1" xr:uid="{00000000-0004-0000-0200-000000000000}"/>
    <hyperlink ref="N8" r:id="rId2" xr:uid="{00000000-0004-0000-0200-000001000000}"/>
    <hyperlink ref="L2" r:id="rId3" xr:uid="{00000000-0004-0000-0200-000002000000}"/>
    <hyperlink ref="L7" r:id="rId4" xr:uid="{00000000-0004-0000-0200-000003000000}"/>
    <hyperlink ref="L3" r:id="rId5" display="apinvoices@glccd.com/apinvoices@reyesccb.com" xr:uid="{00000000-0004-0000-0200-000004000000}"/>
    <hyperlink ref="L12" r:id="rId6" display="poinvoices@cokecanada.com/nonpoinvoices@cokecanada.com" xr:uid="{00000000-0004-0000-0200-000006000000}"/>
    <hyperlink ref="L10" r:id="rId7" xr:uid="{00000000-0004-0000-0200-000007000000}"/>
    <hyperlink ref="L4" r:id="rId8" display="apinvoices@glccd.com/apinvoices@reyesccb.com" xr:uid="{00000000-0004-0000-0200-000005000000}"/>
  </hyperlinks>
  <pageMargins left="0.7" right="0.7" top="0.75" bottom="0.75" header="0.3" footer="0.3"/>
  <pageSetup orientation="portrait" r:id="rId9"/>
  <headerFooter>
    <oddFooter>&amp;C&amp;1#&amp;"Calibri"&amp;8&amp;K000000Classified - Confidential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85FE1AAFE07714FA74872D593DF58AA" ma:contentTypeVersion="11" ma:contentTypeDescription="Create a new document." ma:contentTypeScope="" ma:versionID="21131260cac8c0befb7876d05a7a381c">
  <xsd:schema xmlns:xsd="http://www.w3.org/2001/XMLSchema" xmlns:xs="http://www.w3.org/2001/XMLSchema" xmlns:p="http://schemas.microsoft.com/office/2006/metadata/properties" xmlns:ns3="84f89f7f-bc42-47c0-91ce-9fa8bce4968c" xmlns:ns4="73042e42-f86b-44f6-9816-5257f9712d0e" targetNamespace="http://schemas.microsoft.com/office/2006/metadata/properties" ma:root="true" ma:fieldsID="99f9d186480ae47e44e94f008fb41fb4" ns3:_="" ns4:_="">
    <xsd:import namespace="84f89f7f-bc42-47c0-91ce-9fa8bce4968c"/>
    <xsd:import namespace="73042e42-f86b-44f6-9816-5257f9712d0e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Tags" minOccurs="0"/>
                <xsd:element ref="ns3:MediaServiceDateTaken" minOccurs="0"/>
                <xsd:element ref="ns3:MediaServiceLocation" minOccurs="0"/>
                <xsd:element ref="ns3:MediaServiceOCR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4f89f7f-bc42-47c0-91ce-9fa8bce4968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3042e42-f86b-44f6-9816-5257f9712d0e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705BE33-C19C-4A6F-A312-B767F251DC1E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05E0975-B873-4474-A3E3-64542B172295}">
  <ds:schemaRefs>
    <ds:schemaRef ds:uri="84f89f7f-bc42-47c0-91ce-9fa8bce4968c"/>
    <ds:schemaRef ds:uri="http://schemas.microsoft.com/office/infopath/2007/PartnerControls"/>
    <ds:schemaRef ds:uri="http://purl.org/dc/terms/"/>
    <ds:schemaRef ds:uri="http://purl.org/dc/dcmitype/"/>
    <ds:schemaRef ds:uri="73042e42-f86b-44f6-9816-5257f9712d0e"/>
    <ds:schemaRef ds:uri="http://schemas.microsoft.com/office/2006/metadata/properties"/>
    <ds:schemaRef ds:uri="http://www.w3.org/XML/1998/namespace"/>
    <ds:schemaRef ds:uri="http://schemas.microsoft.com/office/2006/documentManagement/types"/>
    <ds:schemaRef ds:uri="http://schemas.openxmlformats.org/package/2006/metadata/core-properties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83C65707-6D42-4612-9D97-256DB8FDD25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4f89f7f-bc42-47c0-91ce-9fa8bce4968c"/>
    <ds:schemaRef ds:uri="73042e42-f86b-44f6-9816-5257f9712d0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MacroTab</vt:lpstr>
      <vt:lpstr>Config</vt:lpstr>
      <vt:lpstr>Temp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Neelesh Diwakar [C]</dc:creator>
  <cp:lastModifiedBy>Yogesh Kumar [C]</cp:lastModifiedBy>
  <dcterms:created xsi:type="dcterms:W3CDTF">2020-02-11T19:27:48Z</dcterms:created>
  <dcterms:modified xsi:type="dcterms:W3CDTF">2023-03-09T10:01:34Z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0x010100285FE1AAFE07714FA74872D593DF58AA</vt:lpwstr>
  </property>
  <property fmtid="{D5CDD505-2E9C-101B-9397-08002B2CF9AE}" pid="3" name="MSIP_Label_618cf4b8-afc8-4a2b-882d-e7a9617ab28d_Enabled">
    <vt:lpwstr>true</vt:lpwstr>
  </property>
  <property fmtid="{D5CDD505-2E9C-101B-9397-08002B2CF9AE}" pid="4" name="MSIP_Label_618cf4b8-afc8-4a2b-882d-e7a9617ab28d_SetDate">
    <vt:lpwstr>2023-03-09T10:01:34Z</vt:lpwstr>
  </property>
  <property fmtid="{D5CDD505-2E9C-101B-9397-08002B2CF9AE}" pid="5" name="MSIP_Label_618cf4b8-afc8-4a2b-882d-e7a9617ab28d_Method">
    <vt:lpwstr>Standard</vt:lpwstr>
  </property>
  <property fmtid="{D5CDD505-2E9C-101B-9397-08002B2CF9AE}" pid="6" name="MSIP_Label_618cf4b8-afc8-4a2b-882d-e7a9617ab28d_Name">
    <vt:lpwstr>618cf4b8-afc8-4a2b-882d-e7a9617ab28d</vt:lpwstr>
  </property>
  <property fmtid="{D5CDD505-2E9C-101B-9397-08002B2CF9AE}" pid="7" name="MSIP_Label_618cf4b8-afc8-4a2b-882d-e7a9617ab28d_SiteId">
    <vt:lpwstr>690a1cb7-2120-4eec-a75d-2354e32bbf6f</vt:lpwstr>
  </property>
  <property fmtid="{D5CDD505-2E9C-101B-9397-08002B2CF9AE}" pid="8" name="MSIP_Label_618cf4b8-afc8-4a2b-882d-e7a9617ab28d_ActionId">
    <vt:lpwstr>3844dade-7538-43de-abea-3a2f6b981785</vt:lpwstr>
  </property>
  <property fmtid="{D5CDD505-2E9C-101B-9397-08002B2CF9AE}" pid="9" name="MSIP_Label_618cf4b8-afc8-4a2b-882d-e7a9617ab28d_ContentBits">
    <vt:lpwstr>2</vt:lpwstr>
  </property>
</Properties>
</file>