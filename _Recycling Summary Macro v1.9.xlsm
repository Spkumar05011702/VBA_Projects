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\\TPSSFCFS002.corp.coke-bsna.com\Workgroup4\Tax\Local - Deposit Compliance\Bottle Deposits\Genpt practice folder\shashank practice folder\recyling summary macro\"/>
    </mc:Choice>
  </mc:AlternateContent>
  <xr:revisionPtr revIDLastSave="0" documentId="13_ncr:1_{DAEE0C3D-3B07-4811-952F-9FA93B8A42AE}" xr6:coauthVersionLast="47" xr6:coauthVersionMax="47" xr10:uidLastSave="{00000000-0000-0000-0000-000000000000}"/>
  <bookViews>
    <workbookView xWindow="-120" yWindow="-120" windowWidth="24240" windowHeight="13290" xr2:uid="{00000000-000D-0000-FFFF-FFFF00000000}"/>
  </bookViews>
  <sheets>
    <sheet name="Macro_Sheet" sheetId="1" r:id="rId1"/>
    <sheet name="Working" sheetId="2" r:id="rId2"/>
    <sheet name="Working1" sheetId="3" r:id="rId3"/>
  </sheets>
  <externalReferences>
    <externalReference r:id="rId4"/>
    <externalReference r:id="rId5"/>
    <externalReference r:id="rId6"/>
    <externalReference r:id="rId7"/>
    <externalReference r:id="rId8"/>
    <externalReference r:id="rId9"/>
  </externalReferences>
  <definedNames>
    <definedName name="\0">#REF!</definedName>
    <definedName name="____DAT1">#REF!</definedName>
    <definedName name="____DAT10">#REF!</definedName>
    <definedName name="____DAT11">#REF!</definedName>
    <definedName name="____DAT12">#REF!</definedName>
    <definedName name="____DAT13">#REF!</definedName>
    <definedName name="____DAT14">#REF!</definedName>
    <definedName name="____DAT15">#REF!</definedName>
    <definedName name="____DAT16">#REF!</definedName>
    <definedName name="____DAT2">#REF!</definedName>
    <definedName name="____DAT3">#REF!</definedName>
    <definedName name="____DAT4">#REF!</definedName>
    <definedName name="____DAT5">#REF!</definedName>
    <definedName name="____DAT6">#REF!</definedName>
    <definedName name="____DAT7">#REF!</definedName>
    <definedName name="____DAT8">#REF!</definedName>
    <definedName name="____DAT9">#REF!</definedName>
    <definedName name="___DAT1">#REF!</definedName>
    <definedName name="___DAT10">#REF!</definedName>
    <definedName name="___DAT11">#REF!</definedName>
    <definedName name="___DAT12">#REF!</definedName>
    <definedName name="___DAT13">#REF!</definedName>
    <definedName name="___DAT14">#REF!</definedName>
    <definedName name="___DAT15">#REF!</definedName>
    <definedName name="___DAT16">#REF!</definedName>
    <definedName name="___DAT2">#REF!</definedName>
    <definedName name="___DAT3">#REF!</definedName>
    <definedName name="___DAT4">#REF!</definedName>
    <definedName name="___DAT5">#REF!</definedName>
    <definedName name="___DAT6">#REF!</definedName>
    <definedName name="___DAT7">#REF!</definedName>
    <definedName name="___DAT8">#REF!</definedName>
    <definedName name="___DAT9">#REF!</definedName>
    <definedName name="__123Graph_A" hidden="1">'[1]Dep Liab'!$D$10:$D$49</definedName>
    <definedName name="__123Graph_B" hidden="1">'[1]Dep Liab'!$E$10:$E$49</definedName>
    <definedName name="__123Graph_C" hidden="1">'[1]Dep Liab'!$F$10:$F$49</definedName>
    <definedName name="__123Graph_D" hidden="1">'[1]Dep Liab'!$G$10:$G$49</definedName>
    <definedName name="__123Graph_E" hidden="1">'[1]Dep Liab'!$H$10:$H$49</definedName>
    <definedName name="__123Graph_F" hidden="1">'[1]Dep Liab'!$I$10:$I$49</definedName>
    <definedName name="__123Graph_X" hidden="1">'[1]Dep Liab'!$C$10:$C$49</definedName>
    <definedName name="__DAT1">#REF!</definedName>
    <definedName name="__DAT10">#REF!</definedName>
    <definedName name="__DAT11">#REF!</definedName>
    <definedName name="__DAT12">#REF!</definedName>
    <definedName name="__DAT13">#REF!</definedName>
    <definedName name="__DAT14">#REF!</definedName>
    <definedName name="__DAT15">#REF!</definedName>
    <definedName name="__DAT16">#REF!</definedName>
    <definedName name="__DAT2">#REF!</definedName>
    <definedName name="__DAT3">#REF!</definedName>
    <definedName name="__DAT4">#REF!</definedName>
    <definedName name="__DAT5">#REF!</definedName>
    <definedName name="__DAT6">#REF!</definedName>
    <definedName name="__DAT7">#REF!</definedName>
    <definedName name="__DAT8">#REF!</definedName>
    <definedName name="__DAT9">#REF!</definedName>
    <definedName name="__IntlFixup" hidden="1">TRUE</definedName>
    <definedName name="_DAT1">#REF!</definedName>
    <definedName name="_DAT10">#REF!</definedName>
    <definedName name="_DAT11">#REF!</definedName>
    <definedName name="_DAT12">#REF!</definedName>
    <definedName name="_DAT13">#REF!</definedName>
    <definedName name="_DAT14">#REF!</definedName>
    <definedName name="_DAT15">#REF!</definedName>
    <definedName name="_DAT16">#REF!</definedName>
    <definedName name="_DAT2">#REF!</definedName>
    <definedName name="_DAT3">#REF!</definedName>
    <definedName name="_DAT4">#REF!</definedName>
    <definedName name="_DAT5">#REF!</definedName>
    <definedName name="_DAT6">#REF!</definedName>
    <definedName name="_DAT7">#REF!</definedName>
    <definedName name="_DAT8">#REF!</definedName>
    <definedName name="_DAT9">#REF!</definedName>
    <definedName name="_Fill" hidden="1">#REF!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Sort" hidden="1">#REF!</definedName>
    <definedName name="ACCTS">[2]INFO!$B$18</definedName>
    <definedName name="ACPAY">[2]INFO!$B$11</definedName>
    <definedName name="ASSR">[2]INFO!$E$29</definedName>
    <definedName name="ASSR_AD1">[2]INFO!$A$31</definedName>
    <definedName name="ASSR_AD2">[2]INFO!$A$32</definedName>
    <definedName name="ASSR_AD3">[2]INFO!$A$33</definedName>
    <definedName name="ASSR_AD4">[2]INFO!$A$34</definedName>
    <definedName name="ASSR_NUM">[2]INFO!$E$30</definedName>
    <definedName name="atlanta">#REF!</definedName>
    <definedName name="Backup">'[3]NFDL back up'!$D$2:$D$20</definedName>
    <definedName name="Beg_Bal">#REF!</definedName>
    <definedName name="BILLS">[2]INFO!$B$19</definedName>
    <definedName name="central">#REF!</definedName>
    <definedName name="CHIP">[4]Billing!#REF!</definedName>
    <definedName name="COLL">[2]INFO!$E$36</definedName>
    <definedName name="COLL_AD1">[2]INFO!$A$38</definedName>
    <definedName name="COLL_AD2">[2]INFO!$A$39</definedName>
    <definedName name="COLL_AD3">[2]INFO!$A$40</definedName>
    <definedName name="COLL_AD4">[2]INFO!$A$41</definedName>
    <definedName name="COLL_NUM">[2]INFO!$E$37</definedName>
    <definedName name="Cum_Int">#REF!</definedName>
    <definedName name="Data">#REF!</definedName>
    <definedName name="_xlnm.Database">#REF!</definedName>
    <definedName name="Detail">MATCH(0.01,[5]!End_Bal,-1)+1</definedName>
    <definedName name="DIVISION">[2]INFO!$B$9</definedName>
    <definedName name="DS_PN">[2]WKSHT!$G$26</definedName>
    <definedName name="End_Bal">#REF!</definedName>
    <definedName name="Extra_Pay">#REF!</definedName>
    <definedName name="florida">#REF!</definedName>
    <definedName name="Full_Print">#REF!</definedName>
    <definedName name="GROUP">[2]INFO!$B$7</definedName>
    <definedName name="Header_Row">ROW(#REF!)</definedName>
    <definedName name="HTML_CodePage" hidden="1">1252</definedName>
    <definedName name="HTML_Control" hidden="1">{"'TOTAL'!$I$38"}</definedName>
    <definedName name="HTML_Description" hidden="1">""</definedName>
    <definedName name="HTML_Email" hidden="1">""</definedName>
    <definedName name="HTML_Header" hidden="1">"TOTAL"</definedName>
    <definedName name="HTML_LastUpdate" hidden="1">"5/22/98"</definedName>
    <definedName name="HTML_LineAfter" hidden="1">FALSE</definedName>
    <definedName name="HTML_LineBefore" hidden="1">FALSE</definedName>
    <definedName name="HTML_Name" hidden="1">"Billy Wang"</definedName>
    <definedName name="HTML_OBDlg2" hidden="1">TRUE</definedName>
    <definedName name="HTML_OBDlg4" hidden="1">TRUE</definedName>
    <definedName name="HTML_OS" hidden="1">0</definedName>
    <definedName name="HTML_PathFile" hidden="1">"C:\DATA\MyHTML.htm"</definedName>
    <definedName name="HTML_Title" hidden="1">"Placeplan"</definedName>
    <definedName name="IASS">[6]WKSHT!$F$8:$F$11</definedName>
    <definedName name="IBK">[6]WKSHT!$C$8:$C$11</definedName>
    <definedName name="IFMV">[6]WKSHT!$E$8:$E$11</definedName>
    <definedName name="Int">#REF!</definedName>
    <definedName name="Interest_Rate">#REF!</definedName>
    <definedName name="IRPT">[6]WKSHT!$D$8:$D$11</definedName>
    <definedName name="ITX">[6]WKSHT!$G$8:$G$11</definedName>
    <definedName name="Last_Row">IF(Values_Entered,Header_Row+Number_of_Payments,Header_Row)</definedName>
    <definedName name="Loan_Amount">#REF!</definedName>
    <definedName name="Loan_Start">#REF!</definedName>
    <definedName name="Loan_Years">#REF!</definedName>
    <definedName name="LOCADDR">[2]INFO!$B$4</definedName>
    <definedName name="NewSAP" hidden="1">{#N/A,#N/A,FALSE,"Totals";#N/A,#N/A,FALSE,"Input"}</definedName>
    <definedName name="NORTHEAST">#REF!</definedName>
    <definedName name="Num_Pmt_Per_Year">#REF!</definedName>
    <definedName name="Number_of_Payments">MATCH(0.01,End_Bal,-1)+1</definedName>
    <definedName name="o" hidden="1">{#N/A,#N/A,FALSE,"Cover Quarterly";#N/A,#N/A,FALSE,"Qtrly";#N/A,#N/A,FALSE,"Cover Yearly MIP";#N/A,#N/A,FALSE,"Yrly"}</definedName>
    <definedName name="OUT_OF_BAL">#REF!</definedName>
    <definedName name="Pay_Date">#REF!</definedName>
    <definedName name="Pay_Num">#REF!</definedName>
    <definedName name="Payment_Date">DATE(YEAR(Loan_Start),MONTH(Loan_Start)+Payment_Number,DAY(Loan_Start))</definedName>
    <definedName name="Princ">#REF!</definedName>
    <definedName name="Print_Area_Reset">OFFSET(Full_Print,0,0,Last_Row)</definedName>
    <definedName name="RATIO">[2]INFO!$B$13</definedName>
    <definedName name="sa">#REF!</definedName>
    <definedName name="SAPBEXdnldView" hidden="1">"43IQWJMWONYQDSVP6G5OD4GSY"</definedName>
    <definedName name="SAPBEXsysID" hidden="1">"PB1"</definedName>
    <definedName name="Sched_Pay">#REF!</definedName>
    <definedName name="Scheduled_Extra_Payments">#REF!</definedName>
    <definedName name="Scheduled_Interest_Rate">#REF!</definedName>
    <definedName name="Scheduled_Monthly_Payment">#REF!</definedName>
    <definedName name="STATE">[2]INFO!$E$3</definedName>
    <definedName name="SUBJUR">[2]INFO!$B$3</definedName>
    <definedName name="TASS">[2]WKSHT!$F$24</definedName>
    <definedName name="TAXJUR">[2]INFO!$B$2</definedName>
    <definedName name="TAXRATE">[2]WKSHT!$I$24</definedName>
    <definedName name="TAXYEAR">[2]INFO!$E$4</definedName>
    <definedName name="test">#REF!</definedName>
    <definedName name="TEST1">#REF!</definedName>
    <definedName name="TESTHKEY">#REF!</definedName>
    <definedName name="TESTKEYS">#REF!</definedName>
    <definedName name="TESTVKEY">#REF!</definedName>
    <definedName name="TEXAV">[2]WKSHT!$E$24</definedName>
    <definedName name="TFMV">[2]WKSHT!$D$24</definedName>
    <definedName name="Total_Interest">#REF!</definedName>
    <definedName name="Total_Pay">#REF!</definedName>
    <definedName name="Total_Payment">Scheduled_Payment+Extra_Payment</definedName>
    <definedName name="TRPT">[2]WKSHT!$C$24</definedName>
    <definedName name="TTAX">[2]WKSHT!$G$24</definedName>
    <definedName name="TXMIDSOUTH">#REF!</definedName>
    <definedName name="TYPE">[2]INFO!$B$17</definedName>
    <definedName name="UNIT">[2]INFO!$B$6</definedName>
    <definedName name="Values_Entered">IF(Loan_Amount*Interest_Rate*Loan_Years*Loan_Start&gt;0,1,0)</definedName>
    <definedName name="VENDOR">'[2]CHK REQ'!$G$31</definedName>
    <definedName name="west">#REF!</definedName>
    <definedName name="wrn.All." hidden="1">{#N/A,#N/A,FALSE,"Totals";#N/A,#N/A,FALSE,"Input"}</definedName>
    <definedName name="wrn.ALL._.SHEETS." hidden="1">{#N/A,#N/A,FALSE,"Cover Quarterly";#N/A,#N/A,FALSE,"Qtrly";#N/A,#N/A,FALSE,"Cover Yearly MIP";#N/A,#N/A,FALSE,"Yrly"}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" i="1" l="1"/>
  <c r="E1" i="1" s="1"/>
  <c r="C1" i="1" l="1"/>
</calcChain>
</file>

<file path=xl/sharedStrings.xml><?xml version="1.0" encoding="utf-8"?>
<sst xmlns="http://schemas.openxmlformats.org/spreadsheetml/2006/main" count="12" uniqueCount="12">
  <si>
    <t>Instructions:</t>
  </si>
  <si>
    <t>Bottler</t>
  </si>
  <si>
    <t>~~ Recycling Summary ~~</t>
  </si>
  <si>
    <r>
      <rPr>
        <b/>
        <i/>
        <sz val="11"/>
        <color rgb="FF002060"/>
        <rFont val="Calibri"/>
        <family val="2"/>
        <scheme val="minor"/>
      </rPr>
      <t>01.</t>
    </r>
    <r>
      <rPr>
        <i/>
        <sz val="11"/>
        <color rgb="FFC00000"/>
        <rFont val="Calibri"/>
        <family val="2"/>
        <scheme val="minor"/>
      </rPr>
      <t xml:space="preserve"> before running the macro, fill all highlighted cell with relevant value.</t>
    </r>
  </si>
  <si>
    <t>Report Month</t>
  </si>
  <si>
    <t>Liberty</t>
  </si>
  <si>
    <r>
      <rPr>
        <b/>
        <i/>
        <sz val="11"/>
        <color rgb="FFC00000"/>
        <rFont val="Calibri"/>
        <family val="2"/>
        <scheme val="minor"/>
      </rPr>
      <t>02.</t>
    </r>
    <r>
      <rPr>
        <i/>
        <sz val="11"/>
        <color rgb="FFC00000"/>
        <rFont val="Calibri"/>
        <family val="2"/>
        <scheme val="minor"/>
      </rPr>
      <t xml:space="preserve"> </t>
    </r>
    <r>
      <rPr>
        <i/>
        <sz val="11"/>
        <color rgb="FF002060"/>
        <rFont val="Calibri"/>
        <family val="2"/>
        <scheme val="minor"/>
      </rPr>
      <t>before running the macro, keep all the with relevant files updated to use.</t>
    </r>
  </si>
  <si>
    <t>Folder Path</t>
  </si>
  <si>
    <t>\\TPSSFCFS002.corp.coke-bsna.com\Workgroup4\Tax\Local - Deposit Compliance\Bottle Deposits\Genpt practice folder\shashank practice folder\recyling summary macro</t>
  </si>
  <si>
    <t/>
  </si>
  <si>
    <t>Nov</t>
  </si>
  <si>
    <t>Liberty Recycling Summary Nov_2022.xlsb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</si>
</sst>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mm\-yy;@"/>
  </numFmts>
  <fonts count="13" x14ac:knownFonts="1">
    <font>
      <sz val="11"/>
      <color theme="1"/>
      <name val="Calibri"/>
      <family val="2"/>
      <scheme val="minor"/>
    </font>
    <font>
      <i/>
      <sz val="11"/>
      <color rgb="FF00206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rgb="FFC00000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rgb="FF002060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00808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/>
      <right/>
      <top/>
      <bottom style="medium">
        <color rgb="FFC00000"/>
      </bottom>
      <diagonal/>
    </border>
    <border>
      <left/>
      <right/>
      <top style="medium">
        <color rgb="FF7030A0"/>
      </top>
      <bottom/>
      <diagonal/>
    </border>
    <border>
      <left style="medium">
        <color rgb="FF7030A0"/>
      </left>
      <right/>
      <top/>
      <bottom/>
      <diagonal/>
    </border>
    <border>
      <left style="medium">
        <color rgb="FF7030A0"/>
      </left>
      <right/>
      <top/>
      <bottom style="medium">
        <color rgb="FF7030A0"/>
      </bottom>
      <diagonal/>
    </border>
    <border>
      <left/>
      <right/>
      <top/>
      <bottom style="medium">
        <color rgb="FF7030A0"/>
      </bottom>
      <diagonal/>
    </border>
    <border>
      <left style="medium">
        <color rgb="FF7030A0"/>
      </left>
      <right/>
      <top style="medium">
        <color rgb="FF7030A0"/>
      </top>
      <bottom/>
      <diagonal/>
    </border>
    <border>
      <left/>
      <right/>
      <top style="medium">
        <color rgb="FFC00000"/>
      </top>
      <bottom style="medium">
        <color rgb="FF7030A0"/>
      </bottom>
      <diagonal/>
    </border>
    <border>
      <left/>
      <right style="medium">
        <color rgb="FF7030A0"/>
      </right>
      <top style="medium">
        <color rgb="FF7030A0"/>
      </top>
      <bottom/>
      <diagonal/>
    </border>
    <border>
      <left/>
      <right style="medium">
        <color rgb="FF7030A0"/>
      </right>
      <top/>
      <bottom/>
      <diagonal/>
    </border>
    <border>
      <left/>
      <right style="medium">
        <color rgb="FF7030A0"/>
      </right>
      <top/>
      <bottom style="medium">
        <color rgb="FF7030A0"/>
      </bottom>
      <diagonal/>
    </border>
    <border diagonalDown="1"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 style="medium">
        <color rgb="FFC00000"/>
      </diagonal>
    </border>
    <border diagonalUp="1"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 style="medium">
        <color rgb="FFC00000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0" fillId="0" borderId="0"/>
  </cellStyleXfs>
  <cellXfs count="30">
    <xf numFmtId="0" fontId="0" fillId="0" borderId="0" xfId="0"/>
    <xf numFmtId="0" fontId="0" fillId="0" borderId="0" xfId="0" applyProtection="1">
      <protection locked="0"/>
    </xf>
    <xf numFmtId="0" fontId="0" fillId="3" borderId="1" xfId="0" applyFill="1" applyBorder="1" applyProtection="1">
      <protection locked="0"/>
    </xf>
    <xf numFmtId="0" fontId="0" fillId="3" borderId="2" xfId="0" applyFill="1" applyBorder="1" applyProtection="1">
      <protection locked="0"/>
    </xf>
    <xf numFmtId="0" fontId="0" fillId="4" borderId="0" xfId="0" applyFill="1" applyBorder="1" applyProtection="1">
      <protection locked="0"/>
    </xf>
    <xf numFmtId="0" fontId="0" fillId="4" borderId="5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0" fillId="4" borderId="7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4" borderId="8" xfId="0" applyFill="1" applyBorder="1" applyAlignment="1" applyProtection="1">
      <alignment vertical="center"/>
      <protection locked="0"/>
    </xf>
    <xf numFmtId="0" fontId="0" fillId="4" borderId="5" xfId="0" applyFill="1" applyBorder="1" applyAlignment="1" applyProtection="1">
      <protection locked="0"/>
    </xf>
    <xf numFmtId="0" fontId="0" fillId="4" borderId="4" xfId="0" applyFill="1" applyBorder="1" applyAlignment="1" applyProtection="1">
      <alignment vertical="center"/>
      <protection locked="0"/>
    </xf>
    <xf numFmtId="0" fontId="2" fillId="4" borderId="0" xfId="0" applyFont="1" applyFill="1" applyBorder="1" applyProtection="1">
      <protection locked="0"/>
    </xf>
    <xf numFmtId="0" fontId="3" fillId="4" borderId="0" xfId="0" applyFont="1" applyFill="1" applyBorder="1" applyProtection="1">
      <protection locked="0"/>
    </xf>
    <xf numFmtId="0" fontId="6" fillId="0" borderId="0" xfId="0" applyFont="1" applyProtection="1">
      <protection locked="0"/>
    </xf>
    <xf numFmtId="0" fontId="0" fillId="4" borderId="10" xfId="0" applyFill="1" applyBorder="1" applyAlignment="1" applyProtection="1">
      <alignment vertical="center"/>
      <protection locked="0"/>
    </xf>
    <xf numFmtId="0" fontId="0" fillId="4" borderId="11" xfId="0" applyFill="1" applyBorder="1" applyProtection="1">
      <protection locked="0"/>
    </xf>
    <xf numFmtId="0" fontId="0" fillId="4" borderId="12" xfId="0" applyFill="1" applyBorder="1" applyProtection="1">
      <protection locked="0"/>
    </xf>
    <xf numFmtId="0" fontId="0" fillId="5" borderId="14" xfId="0" applyFill="1" applyBorder="1" applyProtection="1">
      <protection locked="0"/>
    </xf>
    <xf numFmtId="0" fontId="0" fillId="6" borderId="13" xfId="0" applyFill="1" applyBorder="1" applyProtection="1">
      <protection locked="0"/>
    </xf>
    <xf numFmtId="0" fontId="8" fillId="7" borderId="15" xfId="0" applyFont="1" applyFill="1" applyBorder="1" applyAlignment="1" applyProtection="1">
      <alignment horizontal="center" vertical="center"/>
      <protection locked="0"/>
    </xf>
    <xf numFmtId="0" fontId="9" fillId="4" borderId="15" xfId="0" applyFont="1" applyFill="1" applyBorder="1" applyAlignment="1" applyProtection="1">
      <alignment horizontal="center" vertical="center"/>
      <protection locked="0"/>
    </xf>
    <xf numFmtId="14" fontId="6" fillId="0" borderId="0" xfId="0" applyNumberFormat="1" applyFont="1" applyProtection="1">
      <protection locked="0"/>
    </xf>
    <xf numFmtId="0" fontId="0" fillId="7" borderId="16" xfId="0" applyFill="1" applyBorder="1" applyProtection="1">
      <protection locked="0"/>
    </xf>
    <xf numFmtId="0" fontId="0" fillId="7" borderId="17" xfId="0" applyFill="1" applyBorder="1" applyProtection="1">
      <protection locked="0"/>
    </xf>
    <xf numFmtId="0" fontId="0" fillId="7" borderId="18" xfId="0" applyFill="1" applyBorder="1" applyProtection="1">
      <protection locked="0"/>
    </xf>
    <xf numFmtId="0" fontId="8" fillId="4" borderId="0" xfId="0" applyFont="1" applyFill="1" applyBorder="1" applyAlignment="1" applyProtection="1">
      <alignment horizontal="center" vertical="center"/>
      <protection locked="0"/>
    </xf>
    <xf numFmtId="0" fontId="0" fillId="4" borderId="11" xfId="0" quotePrefix="1" applyFill="1" applyBorder="1" applyProtection="1">
      <protection locked="0"/>
    </xf>
    <xf numFmtId="0" fontId="0" fillId="3" borderId="2" xfId="0" quotePrefix="1" applyFill="1" applyBorder="1" applyProtection="1">
      <protection locked="0"/>
    </xf>
    <xf numFmtId="0" fontId="7" fillId="2" borderId="9" xfId="0" applyFont="1" applyFill="1" applyBorder="1" applyAlignment="1" applyProtection="1">
      <alignment horizontal="center" vertical="top" wrapText="1"/>
      <protection locked="0"/>
    </xf>
  </cellXfs>
  <cellStyles count="2">
    <cellStyle name="Normal" xfId="0" builtinId="0"/>
    <cellStyle name="Normal 2" xfId="1" xr:uid="{C8C4E45D-719E-469A-AA83-90C9EE345ACC}"/>
  </cellStyles>
  <dxfs count="0"/>
  <tableStyles count="0" defaultTableStyle="TableStyleMedium2" defaultPivotStyle="PivotStyleLight16"/>
  <colors>
    <mruColors>
      <color rgb="FF66FFFF"/>
      <color rgb="FFCC99FF"/>
      <color rgb="FFFFFFCC"/>
      <color rgb="FFFFFF66"/>
      <color rgb="FF00FFCC"/>
      <color rgb="FF0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2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268941</xdr:colOff>
      <xdr:row>2</xdr:row>
      <xdr:rowOff>103537</xdr:rowOff>
    </xdr:from>
    <xdr:to>
      <xdr:col>12</xdr:col>
      <xdr:colOff>611605</xdr:colOff>
      <xdr:row>5</xdr:row>
      <xdr:rowOff>172117</xdr:rowOff>
    </xdr:to>
    <xdr:sp macro="[0]!sSAP_report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970059" y="394890"/>
          <a:ext cx="3099311" cy="640080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rgbClr val="FFFF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Save SAP FAGLLB03 &amp; PL0  Report.!</a:t>
          </a:r>
        </a:p>
      </xdr:txBody>
    </xdr:sp>
    <xdr:clientData/>
  </xdr:twoCellAnchor>
  <xdr:twoCellAnchor>
    <xdr:from>
      <xdr:col>9</xdr:col>
      <xdr:colOff>257735</xdr:colOff>
      <xdr:row>6</xdr:row>
      <xdr:rowOff>5264</xdr:rowOff>
    </xdr:from>
    <xdr:to>
      <xdr:col>12</xdr:col>
      <xdr:colOff>602407</xdr:colOff>
      <xdr:row>8</xdr:row>
      <xdr:rowOff>102026</xdr:rowOff>
    </xdr:to>
    <xdr:sp macro="[0]!Recycling_Summary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958853" y="1058617"/>
          <a:ext cx="3101319" cy="477762"/>
        </a:xfrm>
        <a:prstGeom prst="rect">
          <a:avLst/>
        </a:prstGeom>
        <a:solidFill>
          <a:schemeClr val="accent2">
            <a:lumMod val="75000"/>
          </a:schemeClr>
        </a:solidFill>
        <a:ln>
          <a:solidFill>
            <a:srgbClr val="FFFF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Recycling Summary.!</a:t>
          </a:r>
        </a:p>
      </xdr:txBody>
    </xdr:sp>
    <xdr:clientData/>
  </xdr:twoCellAnchor>
  <xdr:twoCellAnchor>
    <xdr:from>
      <xdr:col>9</xdr:col>
      <xdr:colOff>246535</xdr:colOff>
      <xdr:row>8</xdr:row>
      <xdr:rowOff>117319</xdr:rowOff>
    </xdr:from>
    <xdr:to>
      <xdr:col>12</xdr:col>
      <xdr:colOff>591207</xdr:colOff>
      <xdr:row>11</xdr:row>
      <xdr:rowOff>23581</xdr:rowOff>
    </xdr:to>
    <xdr:sp macro="[0]!Recycling_Summary_Pivo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947653" y="1551672"/>
          <a:ext cx="3101319" cy="477762"/>
        </a:xfrm>
        <a:prstGeom prst="rect">
          <a:avLst/>
        </a:prstGeom>
        <a:solidFill>
          <a:schemeClr val="accent5">
            <a:lumMod val="75000"/>
          </a:schemeClr>
        </a:solidFill>
        <a:ln>
          <a:solidFill>
            <a:srgbClr val="FFFF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Refresh Pivot Tables.!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495300</xdr:colOff>
          <xdr:row>14</xdr:row>
          <xdr:rowOff>9525</xdr:rowOff>
        </xdr:from>
        <xdr:to>
          <xdr:col>9</xdr:col>
          <xdr:colOff>1019175</xdr:colOff>
          <xdr:row>17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FAGLLB03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266700</xdr:colOff>
          <xdr:row>14</xdr:row>
          <xdr:rowOff>28575</xdr:rowOff>
        </xdr:from>
        <xdr:to>
          <xdr:col>12</xdr:col>
          <xdr:colOff>1066800</xdr:colOff>
          <xdr:row>17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SharedServices2\General%20Ledger\Northwest\NW%20Close\2004%20NW\12%20Dec%2004%20NW\ATSSSJGP_Oregon%20Recycl%20Mandatory%20Deposit%20Dec%20-%20NW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KYLE/2001/IN/IN2/INP2WAB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GRP/MTL_FIN/Fin%20de%20mois/2004/07%20Juillet/&#201;critures/Vendredi/PE-QA-LS-2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FS06\grpdata\Documents%20and%20Settings\MattR\Local%20Settings\Temporary%20Internet%20Files\OLK48\PPcokebillingNB%20New%20Format%20w-links%2020140110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/rsingh3_coke-bsna_com/Documents/Documents/Test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microsoft.com/office/2006/relationships/xlExternalLinkPath/xlStartup" Target="KYLE/1998/AL/AL2/ALP2TAL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p Liab"/>
      <sheetName val="CRINC "/>
      <sheetName val="Salv Inc"/>
      <sheetName val="Cover (Salv Inc)"/>
      <sheetName val="Upload (Salv Inc)"/>
      <sheetName val="upload"/>
      <sheetName val="Cover (Man Dep)"/>
      <sheetName val="Upload (Man Dep)"/>
      <sheetName val="upload (2)"/>
      <sheetName val="Correspondence"/>
      <sheetName val="Correspondence "/>
      <sheetName val="Sheet1"/>
    </sheetNames>
    <sheetDataSet>
      <sheetData sheetId="0">
        <row r="11">
          <cell r="C11" t="str">
            <v>@ $.05/unit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</row>
        <row r="12"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</row>
        <row r="13">
          <cell r="E13" t="e">
            <v>#DIV/0!</v>
          </cell>
          <cell r="F13" t="e">
            <v>#DIV/0!</v>
          </cell>
          <cell r="G13" t="e">
            <v>#DIV/0!</v>
          </cell>
          <cell r="H13" t="e">
            <v>#DIV/0!</v>
          </cell>
          <cell r="I13" t="e">
            <v>#DIV/0!</v>
          </cell>
        </row>
        <row r="15">
          <cell r="C15" t="str">
            <v>@ $.05/unit</v>
          </cell>
          <cell r="E15">
            <v>2385067</v>
          </cell>
          <cell r="F15">
            <v>2140820</v>
          </cell>
          <cell r="G15">
            <v>3378640</v>
          </cell>
          <cell r="H15">
            <v>2583894</v>
          </cell>
          <cell r="I15">
            <v>2791652</v>
          </cell>
        </row>
        <row r="16">
          <cell r="E16">
            <v>2257001.2000000002</v>
          </cell>
          <cell r="F16">
            <v>2231018</v>
          </cell>
          <cell r="G16">
            <v>2275394</v>
          </cell>
          <cell r="H16">
            <v>1528560</v>
          </cell>
          <cell r="I16">
            <v>1390502</v>
          </cell>
        </row>
        <row r="17">
          <cell r="E17">
            <v>0.94630515620735167</v>
          </cell>
          <cell r="F17">
            <v>1.042132453919526</v>
          </cell>
          <cell r="G17">
            <v>0.67346447091137263</v>
          </cell>
          <cell r="H17">
            <v>0.59157225489900123</v>
          </cell>
          <cell r="I17">
            <v>0.49809288550292086</v>
          </cell>
        </row>
        <row r="19">
          <cell r="C19" t="str">
            <v>@ $.05/unit</v>
          </cell>
          <cell r="E19">
            <v>1636520</v>
          </cell>
          <cell r="F19">
            <v>1338644</v>
          </cell>
          <cell r="G19">
            <v>2194705</v>
          </cell>
          <cell r="H19">
            <v>1811794</v>
          </cell>
          <cell r="I19">
            <v>2477816</v>
          </cell>
        </row>
        <row r="20">
          <cell r="E20">
            <v>1773774</v>
          </cell>
          <cell r="F20">
            <v>1431370</v>
          </cell>
          <cell r="G20">
            <v>1639814</v>
          </cell>
          <cell r="H20">
            <v>1164202</v>
          </cell>
          <cell r="I20">
            <v>1462735</v>
          </cell>
        </row>
        <row r="21">
          <cell r="E21">
            <v>1.0838694302544423</v>
          </cell>
          <cell r="F21">
            <v>1.0692686031536391</v>
          </cell>
          <cell r="G21">
            <v>0.74716829824509434</v>
          </cell>
          <cell r="H21">
            <v>0.64256863639022976</v>
          </cell>
          <cell r="I21">
            <v>0.59033237334814204</v>
          </cell>
        </row>
        <row r="23">
          <cell r="C23" t="str">
            <v>@ $.05/unit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</row>
        <row r="24"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</row>
        <row r="25">
          <cell r="E25" t="e">
            <v>#DIV/0!</v>
          </cell>
          <cell r="F25" t="e">
            <v>#DIV/0!</v>
          </cell>
          <cell r="G25" t="e">
            <v>#DIV/0!</v>
          </cell>
          <cell r="H25" t="e">
            <v>#DIV/0!</v>
          </cell>
          <cell r="I25" t="e">
            <v>#DIV/0!</v>
          </cell>
        </row>
        <row r="27">
          <cell r="C27" t="str">
            <v>@ $.05/unit</v>
          </cell>
          <cell r="E27">
            <v>10112441.999999998</v>
          </cell>
          <cell r="F27">
            <v>9409720</v>
          </cell>
          <cell r="G27">
            <v>13279730</v>
          </cell>
          <cell r="H27">
            <v>14411150</v>
          </cell>
          <cell r="I27">
            <v>17033990</v>
          </cell>
        </row>
        <row r="28">
          <cell r="E28">
            <v>9202281</v>
          </cell>
          <cell r="F28">
            <v>8360500.7999999998</v>
          </cell>
          <cell r="G28">
            <v>9333024</v>
          </cell>
          <cell r="H28">
            <v>12360501</v>
          </cell>
          <cell r="I28">
            <v>14985020</v>
          </cell>
        </row>
        <row r="29">
          <cell r="E29">
            <v>0.90999592383323447</v>
          </cell>
          <cell r="F29">
            <v>0.88849623580722914</v>
          </cell>
          <cell r="G29">
            <v>0.70299999999999996</v>
          </cell>
          <cell r="H29">
            <v>0.85770400002775626</v>
          </cell>
          <cell r="I29">
            <v>0.87971285647109099</v>
          </cell>
        </row>
        <row r="31">
          <cell r="C31" t="str">
            <v>@ $.05/unit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</row>
        <row r="32"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</row>
        <row r="33">
          <cell r="E33" t="e">
            <v>#DIV/0!</v>
          </cell>
          <cell r="F33" t="e">
            <v>#DIV/0!</v>
          </cell>
          <cell r="G33" t="e">
            <v>#DIV/0!</v>
          </cell>
          <cell r="H33" t="e">
            <v>#DIV/0!</v>
          </cell>
          <cell r="I33" t="e">
            <v>#DIV/0!</v>
          </cell>
        </row>
        <row r="35">
          <cell r="C35" t="str">
            <v>@ $.05/unit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</row>
        <row r="36"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</row>
        <row r="37">
          <cell r="E37" t="e">
            <v>#DIV/0!</v>
          </cell>
          <cell r="F37" t="e">
            <v>#DIV/0!</v>
          </cell>
          <cell r="G37" t="e">
            <v>#DIV/0!</v>
          </cell>
          <cell r="H37" t="e">
            <v>#DIV/0!</v>
          </cell>
          <cell r="I37" t="e">
            <v>#DIV/0!</v>
          </cell>
        </row>
        <row r="39">
          <cell r="C39" t="str">
            <v>@ $.05/unit</v>
          </cell>
          <cell r="E39">
            <v>14134028.999999998</v>
          </cell>
          <cell r="F39">
            <v>12889184</v>
          </cell>
          <cell r="G39">
            <v>18853075</v>
          </cell>
          <cell r="H39">
            <v>21049914</v>
          </cell>
          <cell r="I39">
            <v>24754051</v>
          </cell>
        </row>
        <row r="40">
          <cell r="E40">
            <v>13233056.199999999</v>
          </cell>
          <cell r="F40">
            <v>12022888.799999999</v>
          </cell>
          <cell r="G40">
            <v>13248232</v>
          </cell>
          <cell r="H40">
            <v>16514802</v>
          </cell>
          <cell r="I40">
            <v>20068815</v>
          </cell>
        </row>
        <row r="41">
          <cell r="E41">
            <v>0.93625506216238841</v>
          </cell>
          <cell r="F41">
            <v>0.93278898027989976</v>
          </cell>
          <cell r="G41">
            <v>0.70299999999999996</v>
          </cell>
          <cell r="H41">
            <v>0.78455436920074828</v>
          </cell>
          <cell r="I41">
            <v>0.81072851469846285</v>
          </cell>
        </row>
        <row r="43">
          <cell r="C43" t="str">
            <v>@ $.05/unit</v>
          </cell>
          <cell r="E43">
            <v>14712418.999999998</v>
          </cell>
          <cell r="F43">
            <v>19672149</v>
          </cell>
          <cell r="G43">
            <v>22501614</v>
          </cell>
          <cell r="H43">
            <v>21068474</v>
          </cell>
          <cell r="I43">
            <v>24780931</v>
          </cell>
        </row>
        <row r="44">
          <cell r="E44">
            <v>6946940.1999999993</v>
          </cell>
          <cell r="F44">
            <v>7478149.3999999994</v>
          </cell>
          <cell r="G44">
            <v>8735957.3999999985</v>
          </cell>
          <cell r="H44">
            <v>6447550</v>
          </cell>
          <cell r="I44">
            <v>8554611</v>
          </cell>
        </row>
        <row r="45">
          <cell r="E45">
            <v>6934412</v>
          </cell>
          <cell r="F45">
            <v>8556720</v>
          </cell>
          <cell r="G45">
            <v>10341200</v>
          </cell>
          <cell r="H45">
            <v>10069612</v>
          </cell>
          <cell r="I45">
            <v>11519844</v>
          </cell>
        </row>
        <row r="46">
          <cell r="E46">
            <v>13881352.199999999</v>
          </cell>
          <cell r="F46">
            <v>16034869.399999999</v>
          </cell>
          <cell r="G46">
            <v>19077157.399999999</v>
          </cell>
          <cell r="H46">
            <v>16517162</v>
          </cell>
          <cell r="I46">
            <v>20074455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  <sheetName val="WKSHT"/>
      <sheetName val="SCH-A"/>
      <sheetName val="CHK REQ"/>
      <sheetName val="COVER"/>
      <sheetName val="CALNDR"/>
      <sheetName val="AREA 1"/>
      <sheetName val="A"/>
      <sheetName val="Sheet1"/>
      <sheetName val="Through 3_2005"/>
      <sheetName val="Menu"/>
    </sheetNames>
    <sheetDataSet>
      <sheetData sheetId="0" refreshError="1">
        <row r="2">
          <cell r="B2" t="str">
            <v>WABASH CO</v>
          </cell>
        </row>
        <row r="3">
          <cell r="B3" t="str">
            <v>WABASH CI</v>
          </cell>
          <cell r="E3" t="str">
            <v>IN</v>
          </cell>
        </row>
        <row r="4">
          <cell r="B4" t="str">
            <v>VARIOUS LOCATIONS</v>
          </cell>
          <cell r="E4" t="str">
            <v>2001</v>
          </cell>
        </row>
        <row r="6">
          <cell r="B6" t="str">
            <v>HONDO OHKY</v>
          </cell>
        </row>
        <row r="7">
          <cell r="B7" t="str">
            <v>NORTH AMERICAN</v>
          </cell>
        </row>
        <row r="9">
          <cell r="B9" t="str">
            <v>TRI-STATES (OH/KY/IN)</v>
          </cell>
        </row>
        <row r="11">
          <cell r="B11" t="str">
            <v>CINCINNATI</v>
          </cell>
        </row>
        <row r="13">
          <cell r="B13">
            <v>1</v>
          </cell>
        </row>
        <row r="17">
          <cell r="B17" t="str">
            <v>CD</v>
          </cell>
        </row>
        <row r="18">
          <cell r="B18">
            <v>10</v>
          </cell>
        </row>
        <row r="19">
          <cell r="B19">
            <v>10</v>
          </cell>
        </row>
        <row r="29">
          <cell r="E29" t="str">
            <v>KELLY SCHENKEL</v>
          </cell>
        </row>
        <row r="30">
          <cell r="E30" t="str">
            <v>219/563-0661</v>
          </cell>
        </row>
        <row r="31">
          <cell r="A31" t="str">
            <v>WABASH COUNTY TAX ASSESSOR</v>
          </cell>
        </row>
        <row r="32">
          <cell r="A32" t="str">
            <v xml:space="preserve">COURTHOUSE   </v>
          </cell>
        </row>
        <row r="33">
          <cell r="A33" t="str">
            <v>1 W. HILL STREET</v>
          </cell>
        </row>
        <row r="34">
          <cell r="A34" t="str">
            <v>WABASH, INDIANA 46992</v>
          </cell>
        </row>
        <row r="36">
          <cell r="E36" t="str">
            <v/>
          </cell>
        </row>
        <row r="37">
          <cell r="E37" t="str">
            <v/>
          </cell>
        </row>
        <row r="38">
          <cell r="A38" t="str">
            <v>WABASH COUNTY TAX COLLECTOR</v>
          </cell>
        </row>
        <row r="39">
          <cell r="A39" t="str">
            <v/>
          </cell>
        </row>
        <row r="40">
          <cell r="A40" t="str">
            <v/>
          </cell>
        </row>
        <row r="41">
          <cell r="A41" t="str">
            <v/>
          </cell>
        </row>
      </sheetData>
      <sheetData sheetId="1" refreshError="1">
        <row r="24">
          <cell r="C24">
            <v>0</v>
          </cell>
          <cell r="D24">
            <v>0</v>
          </cell>
          <cell r="E24">
            <v>63250</v>
          </cell>
          <cell r="F24">
            <v>0</v>
          </cell>
          <cell r="G24">
            <v>0</v>
          </cell>
          <cell r="I24" t="str">
            <v/>
          </cell>
        </row>
      </sheetData>
      <sheetData sheetId="2" refreshError="1"/>
      <sheetData sheetId="3" refreshError="1">
        <row r="31">
          <cell r="G31" t="str">
            <v>NEW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P_Upload"/>
      <sheetName val="Reference Sheet"/>
      <sheetName val="TR DORIS"/>
      <sheetName val="NB Back Up"/>
      <sheetName val="Sponsorship metro messier"/>
      <sheetName val="Detail #1"/>
      <sheetName val="Detail #2"/>
      <sheetName val="Detail #3"/>
      <sheetName val="Mtl BU"/>
      <sheetName val="Mtl BU Fuel 1"/>
      <sheetName val="Mtl BU Fuel 2"/>
      <sheetName val="COP-adjustment"/>
      <sheetName val="NFDL back u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2">
          <cell r="D2" t="str">
            <v>Spons/SpecialEvents</v>
          </cell>
        </row>
        <row r="3">
          <cell r="D3" t="str">
            <v>Spons/SpecialEvents</v>
          </cell>
        </row>
        <row r="4">
          <cell r="D4" t="str">
            <v>Spons/SpecialEvents</v>
          </cell>
        </row>
        <row r="5">
          <cell r="D5" t="str">
            <v>Spons/SpecialEvents</v>
          </cell>
        </row>
        <row r="6">
          <cell r="D6" t="str">
            <v>Spons/SpecialEvents</v>
          </cell>
        </row>
        <row r="7">
          <cell r="D7" t="str">
            <v>Spons/SpecialEvents</v>
          </cell>
        </row>
        <row r="8">
          <cell r="D8" t="str">
            <v>Spons/SpecialEvents</v>
          </cell>
        </row>
        <row r="9">
          <cell r="D9" t="str">
            <v>Spons/SpecialEvents</v>
          </cell>
        </row>
        <row r="10">
          <cell r="D10" t="str">
            <v>Spons/SpecialEvents</v>
          </cell>
        </row>
        <row r="11">
          <cell r="D11" t="str">
            <v>Spons/SpecialEvents</v>
          </cell>
        </row>
        <row r="12">
          <cell r="D12" t="str">
            <v>Spons/SpecialEvents</v>
          </cell>
        </row>
        <row r="13">
          <cell r="D13" t="str">
            <v>Spons/SpecialEvents</v>
          </cell>
        </row>
        <row r="14">
          <cell r="D14" t="str">
            <v>Spons/SpecialEvents</v>
          </cell>
        </row>
        <row r="15">
          <cell r="D15" t="str">
            <v>Spons/SpecialEvents</v>
          </cell>
        </row>
        <row r="16">
          <cell r="D16" t="str">
            <v>Spons/SpecialEvents</v>
          </cell>
        </row>
        <row r="17">
          <cell r="D17" t="str">
            <v>Spons/SpecialEvents</v>
          </cell>
        </row>
        <row r="18">
          <cell r="D18" t="str">
            <v>Spons/SpecialEvents</v>
          </cell>
        </row>
        <row r="19">
          <cell r="D19" t="str">
            <v>Spons/SpecialEvents</v>
          </cell>
        </row>
        <row r="20">
          <cell r="D20" t="str">
            <v>Spons/SpecialEvents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Bag Report"/>
      <sheetName val="Plug In Pick Up Sheet"/>
      <sheetName val="BOL Log"/>
      <sheetName val="Input Plants"/>
      <sheetName val="Special Handling"/>
      <sheetName val="Fees Schedule"/>
      <sheetName val="Shipping Report"/>
      <sheetName val="Can Counting Report"/>
      <sheetName val="Billing"/>
      <sheetName val="MR-Conventional Retailer w-link"/>
      <sheetName val="MR-Commercial Volume w-link"/>
      <sheetName val="MR-Conventional Red. w-link"/>
      <sheetName val="MR-RVM Envipco w-link"/>
      <sheetName val="MR-RVM Tomra w-link"/>
      <sheetName val="Summary"/>
      <sheetName val="Current Keyz Entry Templa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P Detail"/>
      <sheetName val="Test"/>
    </sheetNames>
    <definedNames>
      <definedName name="End_Bal" refersTo="#REF!"/>
    </definedNames>
    <sheetDataSet>
      <sheetData sheetId="0"/>
      <sheetData sheetId="1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  <sheetName val="WKSHT"/>
      <sheetName val="SCH-A"/>
      <sheetName val="CHK REQ"/>
      <sheetName val="COVER"/>
      <sheetName val="CALNDR"/>
      <sheetName val="AREA 1"/>
      <sheetName val="06"/>
      <sheetName val="Amortization Table"/>
      <sheetName val="2000 Activity"/>
      <sheetName val="FS Min Detail"/>
      <sheetName val="2002 Funding"/>
      <sheetName val="Cap 02"/>
      <sheetName val="SAP CODES"/>
      <sheetName val="NFDL back up"/>
      <sheetName val="LTM"/>
      <sheetName val="CREDIT STATS"/>
      <sheetName val="DropZone"/>
      <sheetName val="MAIN"/>
      <sheetName val="Sheet1"/>
      <sheetName val="Hierarchy Cost_Centers(1)"/>
    </sheetNames>
    <sheetDataSet>
      <sheetData sheetId="0" refreshError="1"/>
      <sheetData sheetId="1" refreshError="1">
        <row r="9"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</row>
        <row r="10"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19"/>
  <sheetViews>
    <sheetView showGridLines="0" tabSelected="1" zoomScale="85" zoomScaleNormal="85" workbookViewId="0">
      <selection activeCell="P11" sqref="P11"/>
    </sheetView>
  </sheetViews>
  <sheetFormatPr defaultRowHeight="15" x14ac:dyDescent="0.25"/>
  <cols>
    <col min="1" max="1" width="3.7109375" style="1" customWidth="1"/>
    <col min="2" max="2" width="3.28515625" style="1" customWidth="1"/>
    <col min="3" max="3" width="4" style="1" customWidth="1"/>
    <col min="4" max="4" width="14.42578125" style="1" customWidth="1"/>
    <col min="5" max="8" width="14.85546875" style="1" customWidth="1"/>
    <col min="9" max="10" width="15.7109375" style="1" customWidth="1"/>
    <col min="11" max="12" width="12.7109375" style="1" customWidth="1"/>
    <col min="13" max="13" width="23.7109375" style="1" customWidth="1"/>
    <col min="14" max="14" width="3.28515625" style="1" customWidth="1"/>
    <col min="15" max="16384" width="9.140625" style="1"/>
  </cols>
  <sheetData>
    <row r="1" spans="1:14" s="14" customFormat="1" ht="6.75" customHeight="1" thickBot="1" x14ac:dyDescent="0.3">
      <c r="A1" s="22">
        <v>-2751417.7000000007</v>
      </c>
      <c r="B1" s="14">
        <v>-92701.949999999822</v>
      </c>
      <c r="C1" s="22">
        <f>ABS(SUM(A1:B1))</f>
        <v>2844119.6500000004</v>
      </c>
      <c r="D1" s="14">
        <f>MONTH(1&amp;E8)</f>
        <v>11</v>
      </c>
      <c r="E1" s="14">
        <f>IF(LEN(D1)&lt;&gt;2,TEXT(D1,"00"),D1)</f>
        <v>11</v>
      </c>
      <c r="G1" s="14" t="s">
        <v>11</v>
      </c>
    </row>
    <row r="2" spans="1:14" ht="15.75" customHeight="1" thickBot="1" x14ac:dyDescent="0.3">
      <c r="B2" s="19"/>
      <c r="C2" s="29" t="s">
        <v>2</v>
      </c>
      <c r="D2" s="29"/>
      <c r="E2" s="29"/>
      <c r="F2" s="29"/>
      <c r="G2" s="29"/>
      <c r="H2" s="29"/>
      <c r="I2" s="29"/>
      <c r="J2" s="29"/>
      <c r="K2" s="29"/>
      <c r="L2" s="29"/>
      <c r="M2" s="29"/>
      <c r="N2" s="18"/>
    </row>
    <row r="3" spans="1:14" x14ac:dyDescent="0.25">
      <c r="B3" s="2"/>
      <c r="C3" s="9"/>
      <c r="D3" s="11"/>
      <c r="E3" s="11"/>
      <c r="F3" s="11"/>
      <c r="G3" s="11"/>
      <c r="H3" s="11"/>
      <c r="I3" s="11"/>
      <c r="J3" s="11"/>
      <c r="K3" s="11"/>
      <c r="L3" s="11"/>
      <c r="M3" s="15"/>
      <c r="N3" s="3"/>
    </row>
    <row r="4" spans="1:14" x14ac:dyDescent="0.25">
      <c r="B4" s="2"/>
      <c r="C4" s="10"/>
      <c r="D4" s="4"/>
      <c r="E4" s="4"/>
      <c r="F4" s="4"/>
      <c r="G4" s="4"/>
      <c r="H4" s="4"/>
      <c r="I4" s="4"/>
      <c r="J4" s="4"/>
      <c r="K4" s="4"/>
      <c r="L4" s="4"/>
      <c r="M4" s="16"/>
      <c r="N4" s="3"/>
    </row>
    <row r="5" spans="1:14" x14ac:dyDescent="0.25">
      <c r="B5" s="2"/>
      <c r="C5" s="5"/>
      <c r="D5" s="4"/>
      <c r="E5" s="4"/>
      <c r="F5" s="4"/>
      <c r="G5" s="4"/>
      <c r="H5" s="4"/>
      <c r="I5" s="4"/>
      <c r="J5" s="4"/>
      <c r="K5" s="4"/>
      <c r="L5" s="4"/>
      <c r="M5" s="16"/>
      <c r="N5" s="3"/>
    </row>
    <row r="6" spans="1:14" x14ac:dyDescent="0.25">
      <c r="B6" s="2"/>
      <c r="C6" s="5"/>
      <c r="D6" s="4"/>
      <c r="E6" s="4"/>
      <c r="F6" s="4"/>
      <c r="G6" s="4"/>
      <c r="H6" s="4"/>
      <c r="I6" s="4"/>
      <c r="J6" s="4"/>
      <c r="K6" s="4"/>
      <c r="L6" s="4"/>
      <c r="M6" s="16"/>
      <c r="N6" s="3"/>
    </row>
    <row r="7" spans="1:14" x14ac:dyDescent="0.25">
      <c r="B7" s="2"/>
      <c r="C7" s="5"/>
      <c r="D7" s="21" t="s">
        <v>1</v>
      </c>
      <c r="E7" s="20" t="s">
        <v>5</v>
      </c>
      <c r="F7" s="26"/>
      <c r="G7" s="26"/>
      <c r="H7" s="26"/>
      <c r="I7" s="4"/>
      <c r="J7" s="4"/>
      <c r="K7" s="4"/>
      <c r="L7" s="4"/>
      <c r="M7" s="16"/>
      <c r="N7" s="3"/>
    </row>
    <row r="8" spans="1:14" x14ac:dyDescent="0.25">
      <c r="B8" s="2"/>
      <c r="C8" s="5"/>
      <c r="D8" s="21" t="s">
        <v>4</v>
      </c>
      <c r="E8" s="20" t="s">
        <v>10</v>
      </c>
      <c r="F8" s="26"/>
      <c r="G8" s="26"/>
      <c r="H8" s="26"/>
      <c r="I8" s="4"/>
      <c r="J8" s="4"/>
      <c r="K8" s="4"/>
      <c r="L8" s="4"/>
      <c r="M8" s="16"/>
      <c r="N8" s="3"/>
    </row>
    <row r="9" spans="1:14" x14ac:dyDescent="0.25">
      <c r="B9" s="2"/>
      <c r="C9" s="5"/>
      <c r="D9" s="4"/>
      <c r="E9" s="4"/>
      <c r="F9" s="4"/>
      <c r="G9" s="4"/>
      <c r="H9" s="4"/>
      <c r="I9" s="4"/>
      <c r="J9" s="4"/>
      <c r="K9" s="4"/>
      <c r="L9" s="4"/>
      <c r="M9" s="16"/>
      <c r="N9" s="3"/>
    </row>
    <row r="10" spans="1:14" x14ac:dyDescent="0.25">
      <c r="B10" s="2"/>
      <c r="C10" s="5"/>
      <c r="D10" s="4"/>
      <c r="E10" s="4"/>
      <c r="F10" s="4"/>
      <c r="G10" s="4"/>
      <c r="H10" s="4"/>
      <c r="I10" s="4"/>
      <c r="J10" s="4"/>
      <c r="K10" s="4"/>
      <c r="L10" s="4"/>
      <c r="M10" s="16"/>
      <c r="N10" s="3"/>
    </row>
    <row r="11" spans="1:14" x14ac:dyDescent="0.25">
      <c r="B11" s="2"/>
      <c r="C11" s="5"/>
      <c r="D11" s="4"/>
      <c r="E11" s="4"/>
      <c r="F11" s="4"/>
      <c r="G11" s="4"/>
      <c r="H11" s="4"/>
      <c r="I11" s="4"/>
      <c r="J11" s="4"/>
      <c r="K11" s="4"/>
      <c r="L11" s="4"/>
      <c r="M11" s="16"/>
      <c r="N11" s="3"/>
    </row>
    <row r="12" spans="1:14" x14ac:dyDescent="0.25">
      <c r="B12" s="2"/>
      <c r="C12" s="5"/>
      <c r="D12" s="21" t="s">
        <v>7</v>
      </c>
      <c r="E12" s="23" t="s">
        <v>8</v>
      </c>
      <c r="F12" s="24"/>
      <c r="G12" s="24"/>
      <c r="H12" s="24"/>
      <c r="I12" s="24"/>
      <c r="J12" s="24"/>
      <c r="K12" s="25"/>
      <c r="L12" s="4"/>
      <c r="M12" s="27"/>
      <c r="N12" s="28" t="s">
        <v>9</v>
      </c>
    </row>
    <row r="13" spans="1:14" x14ac:dyDescent="0.25">
      <c r="B13" s="2"/>
      <c r="C13" s="5"/>
      <c r="D13" s="4"/>
      <c r="E13" s="4"/>
      <c r="F13" s="4"/>
      <c r="G13" s="4"/>
      <c r="H13" s="4"/>
      <c r="I13" s="4"/>
      <c r="J13" s="4"/>
      <c r="K13" s="4"/>
      <c r="L13" s="4"/>
      <c r="M13" s="16"/>
      <c r="N13" s="3"/>
    </row>
    <row r="14" spans="1:14" x14ac:dyDescent="0.25">
      <c r="B14" s="2"/>
      <c r="C14" s="5"/>
      <c r="D14" s="12" t="s">
        <v>0</v>
      </c>
      <c r="E14" s="4"/>
      <c r="F14" s="4"/>
      <c r="G14" s="4"/>
      <c r="H14" s="4"/>
      <c r="I14" s="4"/>
      <c r="J14" s="4"/>
      <c r="K14" s="4"/>
      <c r="L14" s="4"/>
      <c r="M14" s="16"/>
      <c r="N14" s="3"/>
    </row>
    <row r="15" spans="1:14" x14ac:dyDescent="0.25">
      <c r="B15" s="2"/>
      <c r="C15" s="5"/>
      <c r="D15" s="13" t="s">
        <v>3</v>
      </c>
      <c r="E15" s="4"/>
      <c r="F15" s="4"/>
      <c r="G15" s="4"/>
      <c r="H15" s="4"/>
      <c r="I15" s="4"/>
      <c r="J15" s="4"/>
      <c r="K15" s="4"/>
      <c r="L15" s="4"/>
      <c r="M15" s="16"/>
      <c r="N15" s="3"/>
    </row>
    <row r="16" spans="1:14" x14ac:dyDescent="0.25">
      <c r="B16" s="2"/>
      <c r="C16" s="5"/>
      <c r="D16" s="13" t="s">
        <v>6</v>
      </c>
      <c r="E16" s="4"/>
      <c r="F16" s="4"/>
      <c r="G16" s="4"/>
      <c r="H16" s="4"/>
      <c r="I16" s="4"/>
      <c r="J16" s="4"/>
      <c r="K16" s="4"/>
      <c r="L16" s="4"/>
      <c r="M16" s="16"/>
      <c r="N16" s="3"/>
    </row>
    <row r="17" spans="2:14" x14ac:dyDescent="0.25">
      <c r="B17" s="2"/>
      <c r="C17" s="5"/>
      <c r="D17" s="13"/>
      <c r="E17" s="4"/>
      <c r="F17" s="4"/>
      <c r="G17" s="4"/>
      <c r="H17" s="4"/>
      <c r="I17" s="4"/>
      <c r="J17" s="4"/>
      <c r="K17" s="4"/>
      <c r="L17" s="4"/>
      <c r="M17" s="16"/>
      <c r="N17" s="3"/>
    </row>
    <row r="18" spans="2:14" ht="15.75" thickBot="1" x14ac:dyDescent="0.3">
      <c r="B18" s="2"/>
      <c r="C18" s="6"/>
      <c r="D18" s="7"/>
      <c r="E18" s="7"/>
      <c r="F18" s="7"/>
      <c r="G18" s="7"/>
      <c r="H18" s="7"/>
      <c r="I18" s="7"/>
      <c r="J18" s="7"/>
      <c r="K18" s="7"/>
      <c r="L18" s="7"/>
      <c r="M18" s="17"/>
      <c r="N18" s="3"/>
    </row>
    <row r="19" spans="2:14" ht="15.75" thickBot="1" x14ac:dyDescent="0.3">
      <c r="B19" s="1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19"/>
    </row>
  </sheetData>
  <mergeCells count="1">
    <mergeCell ref="C2:M2"/>
  </mergeCells>
  <phoneticPr fontId="4" type="noConversion"/>
  <dataValidations count="2">
    <dataValidation type="list" allowBlank="1" showInputMessage="1" showErrorMessage="1" sqref="E8" xr:uid="{00000000-0002-0000-0000-000000000000}">
      <formula1>"Jan,Feb,Mar,Apr,May,Jun,Jul,Aug,Sep,Oct,Nov,Dec"</formula1>
    </dataValidation>
    <dataValidation type="list" allowBlank="1" showInputMessage="1" showErrorMessage="1" sqref="E7" xr:uid="{BCC42C3E-E286-45B0-8CFF-23DEA681768A}">
      <formula1>"Abarta,Canada,Heartland,Liberty,South West"</formula1>
    </dataValidation>
  </dataValidations>
  <pageMargins left="0.7" right="0.7" top="0.75" bottom="0.75" header="0.3" footer="0.3"/>
  <pageSetup orientation="portrait" r:id="rId1"/>
  <headerFooter>
    <oddFooter>&amp;RClassification: Genpact Internal&amp;C&amp;1#&amp;"Calibri"&amp;8&amp;K000000Classified - Confidential</oddFooter>
  </headerFooter>
  <customProperties>
    <customPr name="_pios_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SAP_FAGLLB03">
                <anchor moveWithCells="1" sizeWithCells="1">
                  <from>
                    <xdr:col>8</xdr:col>
                    <xdr:colOff>495300</xdr:colOff>
                    <xdr:row>14</xdr:row>
                    <xdr:rowOff>9525</xdr:rowOff>
                  </from>
                  <to>
                    <xdr:col>9</xdr:col>
                    <xdr:colOff>1019175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SAP_S_PL0">
                <anchor moveWithCells="1" sizeWithCells="1">
                  <from>
                    <xdr:col>11</xdr:col>
                    <xdr:colOff>266700</xdr:colOff>
                    <xdr:row>14</xdr:row>
                    <xdr:rowOff>28575</xdr:rowOff>
                  </from>
                  <to>
                    <xdr:col>12</xdr:col>
                    <xdr:colOff>1066800</xdr:colOff>
                    <xdr:row>17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60EFB-D785-4C30-81C1-F896A4428D14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r:id="rId1"/>
  <headerFooter>
    <oddFooter>&amp;C&amp;1#&amp;"Calibri"&amp;8&amp;K000000Classified - Confidential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4A569-811B-40D0-9DFE-B3FE4BD77966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r:id="rId1"/>
  <headerFooter>
    <oddFooter>&amp;C&amp;1#&amp;"Calibri"&amp;8&amp;K000000Classified - Confidential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8DB3DFAD7FD674C87989EB9A0F10AE7" ma:contentTypeVersion="2" ma:contentTypeDescription="Create a new document." ma:contentTypeScope="" ma:versionID="7d1f668c7c2bb0f546684eccd81fa364">
  <xsd:schema xmlns:xsd="http://www.w3.org/2001/XMLSchema" xmlns:xs="http://www.w3.org/2001/XMLSchema" xmlns:p="http://schemas.microsoft.com/office/2006/metadata/properties" xmlns:ns3="f18f0f01-67ee-4f19-b4cd-7c8d20e95be4" targetNamespace="http://schemas.microsoft.com/office/2006/metadata/properties" ma:root="true" ma:fieldsID="b651b6c553d1977937f0e3369de3cfd2" ns3:_="">
    <xsd:import namespace="f18f0f01-67ee-4f19-b4cd-7c8d20e95be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8f0f01-67ee-4f19-b4cd-7c8d20e95be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236686D-EDB4-43BA-841B-AF16A30FD3D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18f0f01-67ee-4f19-b4cd-7c8d20e95be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002D5F6-601B-48E8-BAEE-D3C671B4467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829ECA3-528E-4D2E-9077-9BEF93C529E3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  <ds:schemaRef ds:uri="f18f0f01-67ee-4f19-b4cd-7c8d20e95be4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Macro_Sheet</vt:lpstr>
      <vt:lpstr>Working</vt:lpstr>
      <vt:lpstr>Working1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Rana Singh [C]</dc:creator>
  <cp:lastModifiedBy>Shashank Rautela [C]</cp:lastModifiedBy>
  <dcterms:created xsi:type="dcterms:W3CDTF">2015-06-05T18:17:20Z</dcterms:created>
  <dcterms:modified xsi:type="dcterms:W3CDTF">2022-12-14T17:57:23Z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0x010100D8DB3DFAD7FD674C87989EB9A0F10AE7</vt:lpwstr>
  </property>
  <property fmtid="{D5CDD505-2E9C-101B-9397-08002B2CF9AE}" pid="3" name="MSIP_Label_618cf4b8-afc8-4a2b-882d-e7a9617ab28d_Enabled">
    <vt:lpwstr>true</vt:lpwstr>
  </property>
  <property fmtid="{D5CDD505-2E9C-101B-9397-08002B2CF9AE}" pid="4" name="MSIP_Label_618cf4b8-afc8-4a2b-882d-e7a9617ab28d_SetDate">
    <vt:lpwstr>2022-12-14T17:57:23Z</vt:lpwstr>
  </property>
  <property fmtid="{D5CDD505-2E9C-101B-9397-08002B2CF9AE}" pid="5" name="MSIP_Label_618cf4b8-afc8-4a2b-882d-e7a9617ab28d_Method">
    <vt:lpwstr>Standard</vt:lpwstr>
  </property>
  <property fmtid="{D5CDD505-2E9C-101B-9397-08002B2CF9AE}" pid="6" name="MSIP_Label_618cf4b8-afc8-4a2b-882d-e7a9617ab28d_Name">
    <vt:lpwstr>618cf4b8-afc8-4a2b-882d-e7a9617ab28d</vt:lpwstr>
  </property>
  <property fmtid="{D5CDD505-2E9C-101B-9397-08002B2CF9AE}" pid="7" name="MSIP_Label_618cf4b8-afc8-4a2b-882d-e7a9617ab28d_SiteId">
    <vt:lpwstr>690a1cb7-2120-4eec-a75d-2354e32bbf6f</vt:lpwstr>
  </property>
  <property fmtid="{D5CDD505-2E9C-101B-9397-08002B2CF9AE}" pid="8" name="MSIP_Label_618cf4b8-afc8-4a2b-882d-e7a9617ab28d_ActionId">
    <vt:lpwstr>c2c16274-ab01-4d71-9579-6d6fc5dfcd09</vt:lpwstr>
  </property>
  <property fmtid="{D5CDD505-2E9C-101B-9397-08002B2CF9AE}" pid="9" name="MSIP_Label_618cf4b8-afc8-4a2b-882d-e7a9617ab28d_ContentBits">
    <vt:lpwstr>2</vt:lpwstr>
  </property>
</Properties>
</file>